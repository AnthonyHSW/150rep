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-Sun comparison" sheetId="1" state="visible" r:id="rId3"/>
    <sheet name="Saturday comparison" sheetId="2" state="visible" r:id="rId4"/>
    <sheet name="Page gri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<sst xmlns="http://schemas.openxmlformats.org/spreadsheetml/2006/main" count="317" uniqueCount="51">
  <si>
    <t xml:space="preserve">Day</t>
  </si>
  <si>
    <t xml:space="preserve">Hour</t>
  </si>
  <si>
    <t xml:space="preserve">150rep page (0-100)</t>
  </si>
  <si>
    <t xml:space="preserve">Page level</t>
  </si>
  <si>
    <t xml:space="preserve">Google Popular Times (est.)</t>
  </si>
  <si>
    <t xml:space="preserve">Google label</t>
  </si>
  <si>
    <t xml:space="preserve">Difference (Google - page)</t>
  </si>
  <si>
    <t xml:space="preserve">Legend and settings</t>
  </si>
  <si>
    <t xml:space="preserve">Monday</t>
  </si>
  <si>
    <t xml:space="preserve">6 AM</t>
  </si>
  <si>
    <t xml:space="preserve">Yellow cells (column E) are for Google Popular Times values; only Saturday is filled in so far.</t>
  </si>
  <si>
    <t xml:space="preserve">7 AM</t>
  </si>
  <si>
    <t xml:space="preserve">Google values are estimated by eye from a screenshot (tallest bar = 100), so they are approximate.</t>
  </si>
  <si>
    <t xml:space="preserve">8 AM</t>
  </si>
  <si>
    <t xml:space="preserve">Page values come from the 150rep landing page's busy-hours data, labeled illustrative. Page level thresholds match the page's code (34 and 67).</t>
  </si>
  <si>
    <t xml:space="preserve">9 AM</t>
  </si>
  <si>
    <t xml:space="preserve">Google label is my approximation: Google's graph has no numbers, so the cutoffs below are assumptions you can edit.</t>
  </si>
  <si>
    <t xml:space="preserve">10 AM</t>
  </si>
  <si>
    <t xml:space="preserve">Only 'A little busy' is confirmed (Saturday 2 PM live reading). 'Busy' needs screenshots from busier days to calibrate.</t>
  </si>
  <si>
    <t xml:space="preserve">11 AM</t>
  </si>
  <si>
    <t xml:space="preserve">12 PM</t>
  </si>
  <si>
    <t xml:space="preserve">1 PM</t>
  </si>
  <si>
    <t xml:space="preserve">'A little busy' starts at</t>
  </si>
  <si>
    <t xml:space="preserve">2 PM</t>
  </si>
  <si>
    <t xml:space="preserve">'Busy' starts at</t>
  </si>
  <si>
    <t xml:space="preserve">3 PM</t>
  </si>
  <si>
    <t xml:space="preserve">Page 'Moderate' starts at</t>
  </si>
  <si>
    <t xml:space="preserve">4 PM</t>
  </si>
  <si>
    <t xml:space="preserve">Page 'Packed' starts at</t>
  </si>
  <si>
    <t xml:space="preserve">5 PM</t>
  </si>
  <si>
    <t xml:space="preserve">Average gap (days entered)</t>
  </si>
  <si>
    <t xml:space="preserve">6 PM</t>
  </si>
  <si>
    <t xml:space="preserve">7 PM</t>
  </si>
  <si>
    <t xml:space="preserve">8 PM</t>
  </si>
  <si>
    <t xml:space="preserve">9 PM</t>
  </si>
  <si>
    <t xml:space="preserve">10 PM</t>
  </si>
  <si>
    <t xml:space="preserve">11 PM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</si>
  <si>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</si>
  <si>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</si>
  <si>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</si>
  <si>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</si>
  <si>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</si>
  <si>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</si>
  <si>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150rep page (Saturday, 0-100)</t>
  </si>
  <si>
    <t xml:space="preserve">Note</t>
  </si>
  <si>
    <t xml:space="preserve">Google live reading: 'A little busy'</t>
  </si>
  <si>
    <t xml:space="preserve">Google peak</t>
  </si>
  <si>
    <t xml:space="preserve">Average gap</t>
  </si>
  <si>
    <t xml:space="preserve">Notes</t>
  </si>
  <si>
    <t xml:space="preserve">Google values estimated by eye from a screenshot; tallest bar = 100. Neither series is a headcount.</t>
  </si>
  <si>
    <t xml:space="preserve">Labels use the editable cutoffs on the Mon-Sun comparison sheet.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</si>
</sst>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Saturday busyness: Google (est.) vs 150rep page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'Saturday comparison'!B1</c:f>
              <c:strCache>
                <c:ptCount val="1"/>
                <c:pt idx="0">
                  <c:v>Google Popular Times (est.)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'Saturday comparison'!$A$2:$A$9</c:f>
              <c:strCache>
                <c:ptCount val="8"/>
                <c:pt idx="0">
                  <c:v>8 AM</c:v>
                </c:pt>
                <c:pt idx="1">
                  <c:v>10 AM</c:v>
                </c:pt>
                <c:pt idx="2">
                  <c:v>12 PM</c:v>
                </c:pt>
                <c:pt idx="3">
                  <c:v>2 PM</c:v>
                </c:pt>
                <c:pt idx="4">
                  <c:v>4 PM</c:v>
                </c:pt>
                <c:pt idx="5">
                  <c:v>5 PM</c:v>
                </c:pt>
                <c:pt idx="6">
                  <c:v>6 PM</c:v>
                </c:pt>
                <c:pt idx="7">
                  <c:v>8 PM</c:v>
                </c:pt>
              </c:strCache>
            </c:strRef>
          </c:cat>
          <c:val>
            <c:numRef>
              <c:f>'Saturday comparison'!$B$2:$B$9</c:f>
              <c:numCache>
                <c:formatCode>General</c:formatCode>
                <c:ptCount val="8"/>
                <c:pt idx="0">
                  <c:v>50</c:v>
                </c:pt>
                <c:pt idx="1">
                  <c:v>85</c:v>
                </c:pt>
                <c:pt idx="2">
                  <c:v>78</c:v>
                </c:pt>
                <c:pt idx="3">
                  <c:v>97</c:v>
                </c:pt>
                <c:pt idx="4">
                  <c:v>88</c:v>
                </c:pt>
                <c:pt idx="5">
                  <c:v>100</c:v>
                </c:pt>
                <c:pt idx="6">
                  <c:v>99</c:v>
                </c:pt>
                <c:pt idx="7">
                  <c:v>50</c:v>
                </c:pt>
              </c:numCache>
            </c:numRef>
          </c:val>
        </c:ser>
        <c:ser>
          <c:idx val="1"/>
          <c:order val="1"/>
          <c:tx>
            <c:strRef>
              <c:f>'Saturday comparison'!D1</c:f>
              <c:strCache>
                <c:ptCount val="1"/>
                <c:pt idx="0">
                  <c:v>150rep page (Saturday, 0-100)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'Saturday comparison'!$A$2:$A$9</c:f>
              <c:strCache>
                <c:ptCount val="8"/>
                <c:pt idx="0">
                  <c:v>8 AM</c:v>
                </c:pt>
                <c:pt idx="1">
                  <c:v>10 AM</c:v>
                </c:pt>
                <c:pt idx="2">
                  <c:v>12 PM</c:v>
                </c:pt>
                <c:pt idx="3">
                  <c:v>2 PM</c:v>
                </c:pt>
                <c:pt idx="4">
                  <c:v>4 PM</c:v>
                </c:pt>
                <c:pt idx="5">
                  <c:v>5 PM</c:v>
                </c:pt>
                <c:pt idx="6">
                  <c:v>6 PM</c:v>
                </c:pt>
                <c:pt idx="7">
                  <c:v>8 PM</c:v>
                </c:pt>
              </c:strCache>
            </c:strRef>
          </c:cat>
          <c:val>
            <c:numRef>
              <c:f>'Saturday comparison'!$D$2:$D$9</c:f>
              <c:numCache>
                <c:formatCode>General</c:formatCode>
                <c:ptCount val="8"/>
                <c:pt idx="0">
                  <c:v>22</c:v>
                </c:pt>
                <c:pt idx="1">
                  <c:v>50</c:v>
                </c:pt>
                <c:pt idx="2">
                  <c:v>52</c:v>
                </c:pt>
                <c:pt idx="3">
                  <c:v>40</c:v>
                </c:pt>
                <c:pt idx="4">
                  <c:v>30</c:v>
                </c:pt>
                <c:pt idx="5">
                  <c:v>24</c:v>
                </c:pt>
                <c:pt idx="6">
                  <c:v>18</c:v>
                </c:pt>
                <c:pt idx="7">
                  <c:v>8</c:v>
                </c:pt>
              </c:numCache>
            </c:numRef>
          </c:val>
        </c:ser>
        <c:gapWidth val="150"/>
        <c:overlap val="0"/>
        <c:axId val="181893"/>
        <c:axId val="42142880"/>
      </c:barChart>
      <c:catAx>
        <c:axId val="1818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42880"/>
        <c:crosses val="autoZero"/>
        <c:auto val="1"/>
        <c:lblAlgn val="ctr"/>
        <c:lblOffset val="100"/>
        <c:noMultiLvlLbl val="0"/>
      </c:catAx>
      <c:valAx>
        <c:axId val="421428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Index (0-100)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18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18</xdr:col>
      <xdr:colOff>364320</xdr:colOff>
      <xdr:row>16</xdr:row>
      <xdr:rowOff>22320</xdr:rowOff>
    </xdr:to>
    <xdr:graphicFrame>
      <xdr:nvGraphicFramePr>
        <xdr:cNvPr id="0" name="Chart 1"/>
        <xdr:cNvGraphicFramePr/>
      </xdr:nvGraphicFramePr>
      <xdr:xfrm>
        <a:off x="10479240" y="5335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3"/>
    <col collapsed="false" customWidth="true" hidden="false" outlineLevel="0" max="9" min="9" style="0" width="48"/>
    <col collapsed="false" customWidth="true" hidden="false" outlineLevel="0" max="10" min="10" style="0" width="3"/>
    <col collapsed="false" customWidth="true" hidden="false" outlineLevel="0" max="11" min="11" style="0" width="10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</row>
    <row r="2" customFormat="false" ht="15" hidden="false" customHeight="false" outlineLevel="0" collapsed="false">
      <c r="A2" s="3" t="s">
        <v>8</v>
      </c>
      <c r="B2" s="3" t="s">
        <v>9</v>
      </c>
      <c r="C2" s="4" t="n">
        <v>22</v>
      </c>
      <c r="D2" s="3" t="str">
        <f aca="false">IF(C2&lt;$K$11,"Quiet",IF(C2&lt;$K$12,"Moderate","Packed"))</f>
        <v>Quiet</v>
      </c>
      <c r="E2" s="5"/>
      <c r="F2" s="3" t="str">
        <f aca="false">IF(E2="","",IF(E2&gt;=$K$10,"Busy",IF(E2&gt;=$K$9,"A little busy","Not too busy")))</f>
        <v/>
      </c>
      <c r="G2" s="3" t="str">
        <f aca="false">IF(E2="","",E2-C2)</f>
        <v/>
      </c>
      <c r="I2" s="3" t="s">
        <v>10</v>
      </c>
    </row>
    <row r="3" customFormat="false" ht="15" hidden="false" customHeight="false" outlineLevel="0" collapsed="false">
      <c r="A3" s="3" t="s">
        <v>8</v>
      </c>
      <c r="B3" s="3" t="s">
        <v>11</v>
      </c>
      <c r="C3" s="4" t="n">
        <v>32</v>
      </c>
      <c r="D3" s="3" t="str">
        <f aca="false">IF(C3&lt;$K$11,"Quiet",IF(C3&lt;$K$12,"Moderate","Packed"))</f>
        <v>Quiet</v>
      </c>
      <c r="E3" s="5"/>
      <c r="F3" s="3" t="str">
        <f aca="false">IF(E3="","",IF(E3&gt;=$K$10,"Busy",IF(E3&gt;=$K$9,"A little busy","Not too busy")))</f>
        <v/>
      </c>
      <c r="G3" s="3" t="str">
        <f aca="false">IF(E3="","",E3-C3)</f>
        <v/>
      </c>
      <c r="I3" s="3" t="s">
        <v>12</v>
      </c>
    </row>
    <row r="4" customFormat="false" ht="15" hidden="false" customHeight="false" outlineLevel="0" collapsed="false">
      <c r="A4" s="3" t="s">
        <v>8</v>
      </c>
      <c r="B4" s="3" t="s">
        <v>13</v>
      </c>
      <c r="C4" s="4" t="n">
        <v>34</v>
      </c>
      <c r="D4" s="3" t="str">
        <f aca="false">IF(C4&lt;$K$11,"Quiet",IF(C4&lt;$K$12,"Moderate","Packed"))</f>
        <v>Moderate</v>
      </c>
      <c r="E4" s="5"/>
      <c r="F4" s="3" t="str">
        <f aca="false">IF(E4="","",IF(E4&gt;=$K$10,"Busy",IF(E4&gt;=$K$9,"A little busy","Not too busy")))</f>
        <v/>
      </c>
      <c r="G4" s="3" t="str">
        <f aca="false">IF(E4="","",E4-C4)</f>
        <v/>
      </c>
      <c r="I4" s="3" t="s">
        <v>14</v>
      </c>
    </row>
    <row r="5" customFormat="false" ht="15" hidden="false" customHeight="false" outlineLevel="0" collapsed="false">
      <c r="A5" s="3" t="s">
        <v>8</v>
      </c>
      <c r="B5" s="3" t="s">
        <v>15</v>
      </c>
      <c r="C5" s="4" t="n">
        <v>32</v>
      </c>
      <c r="D5" s="3" t="str">
        <f aca="false">IF(C5&lt;$K$11,"Quiet",IF(C5&lt;$K$12,"Moderate","Packed"))</f>
        <v>Quiet</v>
      </c>
      <c r="E5" s="5"/>
      <c r="F5" s="3" t="str">
        <f aca="false">IF(E5="","",IF(E5&gt;=$K$10,"Busy",IF(E5&gt;=$K$9,"A little busy","Not too busy")))</f>
        <v/>
      </c>
      <c r="G5" s="3" t="str">
        <f aca="false">IF(E5="","",E5-C5)</f>
        <v/>
      </c>
      <c r="I5" s="3" t="s">
        <v>16</v>
      </c>
    </row>
    <row r="6" customFormat="false" ht="15" hidden="false" customHeight="false" outlineLevel="0" collapsed="false">
      <c r="A6" s="3" t="s">
        <v>8</v>
      </c>
      <c r="B6" s="3" t="s">
        <v>17</v>
      </c>
      <c r="C6" s="4" t="n">
        <v>34</v>
      </c>
      <c r="D6" s="3" t="str">
        <f aca="false">IF(C6&lt;$K$11,"Quiet",IF(C6&lt;$K$12,"Moderate","Packed"))</f>
        <v>Moderate</v>
      </c>
      <c r="E6" s="5"/>
      <c r="F6" s="3" t="str">
        <f aca="false">IF(E6="","",IF(E6&gt;=$K$10,"Busy",IF(E6&gt;=$K$9,"A little busy","Not too busy")))</f>
        <v/>
      </c>
      <c r="G6" s="3" t="str">
        <f aca="false">IF(E6="","",E6-C6)</f>
        <v/>
      </c>
      <c r="I6" s="3" t="s">
        <v>18</v>
      </c>
    </row>
    <row r="7" customFormat="false" ht="15" hidden="false" customHeight="false" outlineLevel="0" collapsed="false">
      <c r="A7" s="3" t="s">
        <v>8</v>
      </c>
      <c r="B7" s="3" t="s">
        <v>19</v>
      </c>
      <c r="C7" s="4" t="n">
        <v>38</v>
      </c>
      <c r="D7" s="3" t="str">
        <f aca="false">IF(C7&lt;$K$11,"Quiet",IF(C7&lt;$K$12,"Moderate","Packed"))</f>
        <v>Moderate</v>
      </c>
      <c r="E7" s="5"/>
      <c r="F7" s="3" t="str">
        <f aca="false">IF(E7="","",IF(E7&gt;=$K$10,"Busy",IF(E7&gt;=$K$9,"A little busy","Not too busy")))</f>
        <v/>
      </c>
      <c r="G7" s="3" t="str">
        <f aca="false">IF(E7="","",E7-C7)</f>
        <v/>
      </c>
    </row>
    <row r="8" customFormat="false" ht="15" hidden="false" customHeight="false" outlineLevel="0" collapsed="false">
      <c r="A8" s="3" t="s">
        <v>8</v>
      </c>
      <c r="B8" s="3" t="s">
        <v>20</v>
      </c>
      <c r="C8" s="4" t="n">
        <v>42</v>
      </c>
      <c r="D8" s="3" t="str">
        <f aca="false">IF(C8&lt;$K$11,"Quiet",IF(C8&lt;$K$12,"Moderate","Packed"))</f>
        <v>Moderate</v>
      </c>
      <c r="E8" s="5"/>
      <c r="F8" s="3" t="str">
        <f aca="false">IF(E8="","",IF(E8&gt;=$K$10,"Busy",IF(E8&gt;=$K$9,"A little busy","Not too busy")))</f>
        <v/>
      </c>
      <c r="G8" s="3" t="str">
        <f aca="false">IF(E8="","",E8-C8)</f>
        <v/>
      </c>
    </row>
    <row r="9" customFormat="false" ht="15" hidden="false" customHeight="false" outlineLevel="0" collapsed="false">
      <c r="A9" s="3" t="s">
        <v>8</v>
      </c>
      <c r="B9" s="3" t="s">
        <v>21</v>
      </c>
      <c r="C9" s="4" t="n">
        <v>38</v>
      </c>
      <c r="D9" s="3" t="str">
        <f aca="false">IF(C9&lt;$K$11,"Quiet",IF(C9&lt;$K$12,"Moderate","Packed"))</f>
        <v>Moderate</v>
      </c>
      <c r="E9" s="5"/>
      <c r="F9" s="3" t="str">
        <f aca="false">IF(E9="","",IF(E9&gt;=$K$10,"Busy",IF(E9&gt;=$K$9,"A little busy","Not too busy")))</f>
        <v/>
      </c>
      <c r="G9" s="3" t="str">
        <f aca="false">IF(E9="","",E9-C9)</f>
        <v/>
      </c>
      <c r="I9" s="3" t="s">
        <v>22</v>
      </c>
      <c r="K9" s="5" t="n">
        <v>40</v>
      </c>
    </row>
    <row r="10" customFormat="false" ht="15" hidden="false" customHeight="false" outlineLevel="0" collapsed="false">
      <c r="A10" s="3" t="s">
        <v>8</v>
      </c>
      <c r="B10" s="3" t="s">
        <v>23</v>
      </c>
      <c r="C10" s="4" t="n">
        <v>38</v>
      </c>
      <c r="D10" s="3" t="str">
        <f aca="false">IF(C10&lt;$K$11,"Quiet",IF(C10&lt;$K$12,"Moderate","Packed"))</f>
        <v>Moderate</v>
      </c>
      <c r="E10" s="5"/>
      <c r="F10" s="3" t="str">
        <f aca="false">IF(E10="","",IF(E10&gt;=$K$10,"Busy",IF(E10&gt;=$K$9,"A little busy","Not too busy")))</f>
        <v/>
      </c>
      <c r="G10" s="3" t="str">
        <f aca="false">IF(E10="","",E10-C10)</f>
        <v/>
      </c>
      <c r="I10" s="3" t="s">
        <v>24</v>
      </c>
      <c r="K10" s="5" t="n">
        <v>101</v>
      </c>
    </row>
    <row r="11" customFormat="false" ht="15" hidden="false" customHeight="false" outlineLevel="0" collapsed="false">
      <c r="A11" s="3" t="s">
        <v>8</v>
      </c>
      <c r="B11" s="3" t="s">
        <v>25</v>
      </c>
      <c r="C11" s="4" t="n">
        <v>46</v>
      </c>
      <c r="D11" s="3" t="str">
        <f aca="false">IF(C11&lt;$K$11,"Quiet",IF(C11&lt;$K$12,"Moderate","Packed"))</f>
        <v>Moderate</v>
      </c>
      <c r="E11" s="5"/>
      <c r="F11" s="3" t="str">
        <f aca="false">IF(E11="","",IF(E11&gt;=$K$10,"Busy",IF(E11&gt;=$K$9,"A little busy","Not too busy")))</f>
        <v/>
      </c>
      <c r="G11" s="3" t="str">
        <f aca="false">IF(E11="","",E11-C11)</f>
        <v/>
      </c>
      <c r="I11" s="3" t="s">
        <v>26</v>
      </c>
      <c r="K11" s="5" t="n">
        <v>34</v>
      </c>
    </row>
    <row r="12" customFormat="false" ht="15" hidden="false" customHeight="false" outlineLevel="0" collapsed="false">
      <c r="A12" s="3" t="s">
        <v>8</v>
      </c>
      <c r="B12" s="3" t="s">
        <v>27</v>
      </c>
      <c r="C12" s="4" t="n">
        <v>64</v>
      </c>
      <c r="D12" s="3" t="str">
        <f aca="false">IF(C12&lt;$K$11,"Quiet",IF(C12&lt;$K$12,"Moderate","Packed"))</f>
        <v>Moderate</v>
      </c>
      <c r="E12" s="5"/>
      <c r="F12" s="3" t="str">
        <f aca="false">IF(E12="","",IF(E12&gt;=$K$10,"Busy",IF(E12&gt;=$K$9,"A little busy","Not too busy")))</f>
        <v/>
      </c>
      <c r="G12" s="3" t="str">
        <f aca="false">IF(E12="","",E12-C12)</f>
        <v/>
      </c>
      <c r="I12" s="3" t="s">
        <v>28</v>
      </c>
      <c r="K12" s="5" t="n">
        <v>67</v>
      </c>
    </row>
    <row r="13" customFormat="false" ht="15" hidden="false" customHeight="false" outlineLevel="0" collapsed="false">
      <c r="A13" s="3" t="s">
        <v>8</v>
      </c>
      <c r="B13" s="3" t="s">
        <v>29</v>
      </c>
      <c r="C13" s="4" t="n">
        <v>88</v>
      </c>
      <c r="D13" s="3" t="str">
        <f aca="false">IF(C13&lt;$K$11,"Quiet",IF(C13&lt;$K$12,"Moderate","Packed"))</f>
        <v>Packed</v>
      </c>
      <c r="E13" s="5"/>
      <c r="F13" s="3" t="str">
        <f aca="false">IF(E13="","",IF(E13&gt;=$K$10,"Busy",IF(E13&gt;=$K$9,"A little busy","Not too busy")))</f>
        <v/>
      </c>
      <c r="G13" s="3" t="str">
        <f aca="false">IF(E13="","",E13-C13)</f>
        <v/>
      </c>
      <c r="I13" s="2" t="s">
        <v>30</v>
      </c>
      <c r="K13" s="2" t="n">
        <f aca="false">IFERROR(AVERAGE(G2:G127),"")</f>
        <v>50.375</v>
      </c>
    </row>
    <row r="14" customFormat="false" ht="15" hidden="false" customHeight="false" outlineLevel="0" collapsed="false">
      <c r="A14" s="3" t="s">
        <v>8</v>
      </c>
      <c r="B14" s="3" t="s">
        <v>31</v>
      </c>
      <c r="C14" s="4" t="n">
        <v>99</v>
      </c>
      <c r="D14" s="3" t="str">
        <f aca="false">IF(C14&lt;$K$11,"Quiet",IF(C14&lt;$K$12,"Moderate","Packed"))</f>
        <v>Packed</v>
      </c>
      <c r="E14" s="5"/>
      <c r="F14" s="3" t="str">
        <f aca="false">IF(E14="","",IF(E14&gt;=$K$10,"Busy",IF(E14&gt;=$K$9,"A little busy","Not too busy")))</f>
        <v/>
      </c>
      <c r="G14" s="3" t="str">
        <f aca="false">IF(E14="","",E14-C14)</f>
        <v/>
      </c>
    </row>
    <row r="15" customFormat="false" ht="15" hidden="false" customHeight="false" outlineLevel="0" collapsed="false">
      <c r="A15" s="3" t="s">
        <v>8</v>
      </c>
      <c r="B15" s="3" t="s">
        <v>32</v>
      </c>
      <c r="C15" s="4" t="n">
        <v>100</v>
      </c>
      <c r="D15" s="3" t="str">
        <f aca="false">IF(C15&lt;$K$11,"Quiet",IF(C15&lt;$K$12,"Moderate","Packed"))</f>
        <v>Packed</v>
      </c>
      <c r="E15" s="5"/>
      <c r="F15" s="3" t="str">
        <f aca="false">IF(E15="","",IF(E15&gt;=$K$10,"Busy",IF(E15&gt;=$K$9,"A little busy","Not too busy")))</f>
        <v/>
      </c>
      <c r="G15" s="3" t="str">
        <f aca="false">IF(E15="","",E15-C15)</f>
        <v/>
      </c>
    </row>
    <row r="16" customFormat="false" ht="15" hidden="false" customHeight="false" outlineLevel="0" collapsed="false">
      <c r="A16" s="3" t="s">
        <v>8</v>
      </c>
      <c r="B16" s="3" t="s">
        <v>33</v>
      </c>
      <c r="C16" s="4" t="n">
        <v>86</v>
      </c>
      <c r="D16" s="3" t="str">
        <f aca="false">IF(C16&lt;$K$11,"Quiet",IF(C16&lt;$K$12,"Moderate","Packed"))</f>
        <v>Packed</v>
      </c>
      <c r="E16" s="5"/>
      <c r="F16" s="3" t="str">
        <f aca="false">IF(E16="","",IF(E16&gt;=$K$10,"Busy",IF(E16&gt;=$K$9,"A little busy","Not too busy")))</f>
        <v/>
      </c>
      <c r="G16" s="3" t="str">
        <f aca="false">IF(E16="","",E16-C16)</f>
        <v/>
      </c>
    </row>
    <row r="17" customFormat="false" ht="15" hidden="false" customHeight="false" outlineLevel="0" collapsed="false">
      <c r="A17" s="3" t="s">
        <v>8</v>
      </c>
      <c r="B17" s="3" t="s">
        <v>34</v>
      </c>
      <c r="C17" s="4" t="n">
        <v>60</v>
      </c>
      <c r="D17" s="3" t="str">
        <f aca="false">IF(C17&lt;$K$11,"Quiet",IF(C17&lt;$K$12,"Moderate","Packed"))</f>
        <v>Moderate</v>
      </c>
      <c r="E17" s="5"/>
      <c r="F17" s="3" t="str">
        <f aca="false">IF(E17="","",IF(E17&gt;=$K$10,"Busy",IF(E17&gt;=$K$9,"A little busy","Not too busy")))</f>
        <v/>
      </c>
      <c r="G17" s="3" t="str">
        <f aca="false">IF(E17="","",E17-C17)</f>
        <v/>
      </c>
    </row>
    <row r="18" customFormat="false" ht="15" hidden="false" customHeight="false" outlineLevel="0" collapsed="false">
      <c r="A18" s="3" t="s">
        <v>8</v>
      </c>
      <c r="B18" s="3" t="s">
        <v>35</v>
      </c>
      <c r="C18" s="4" t="n">
        <v>34</v>
      </c>
      <c r="D18" s="3" t="str">
        <f aca="false">IF(C18&lt;$K$11,"Quiet",IF(C18&lt;$K$12,"Moderate","Packed"))</f>
        <v>Moderate</v>
      </c>
      <c r="E18" s="5"/>
      <c r="F18" s="3" t="str">
        <f aca="false">IF(E18="","",IF(E18&gt;=$K$10,"Busy",IF(E18&gt;=$K$9,"A little busy","Not too busy")))</f>
        <v/>
      </c>
      <c r="G18" s="3" t="str">
        <f aca="false">IF(E18="","",E18-C18)</f>
        <v/>
      </c>
    </row>
    <row r="19" customFormat="false" ht="15" hidden="false" customHeight="false" outlineLevel="0" collapsed="false">
      <c r="A19" s="3" t="s">
        <v>8</v>
      </c>
      <c r="B19" s="3" t="s">
        <v>36</v>
      </c>
      <c r="C19" s="4" t="n">
        <v>17</v>
      </c>
      <c r="D19" s="3" t="str">
        <f aca="false">IF(C19&lt;$K$11,"Quiet",IF(C19&lt;$K$12,"Moderate","Packed"))</f>
        <v>Quiet</v>
      </c>
      <c r="E19" s="5"/>
      <c r="F19" s="3" t="str">
        <f aca="false">IF(E19="","",IF(E19&gt;=$K$10,"Busy",IF(E19&gt;=$K$9,"A little busy","Not too busy")))</f>
        <v/>
      </c>
      <c r="G19" s="3" t="str">
        <f aca="false">IF(E19="","",E19-C19)</f>
        <v/>
      </c>
    </row>
    <row r="20" customFormat="false" ht="15" hidden="false" customHeight="false" outlineLevel="0" collapsed="false">
      <c r="A20" s="3" t="s">
        <v>37</v>
      </c>
      <c r="B20" s="3" t="s">
        <v>9</v>
      </c>
      <c r="C20" s="4" t="n">
        <v>32</v>
      </c>
      <c r="D20" s="3" t="str">
        <f aca="false">IF(C20&lt;$K$11,"Quiet",IF(C20&lt;$K$12,"Moderate","Packed"))</f>
        <v>Quiet</v>
      </c>
      <c r="E20" s="5"/>
      <c r="F20" s="3" t="str">
        <f aca="false">IF(E20="","",IF(E20&gt;=$K$10,"Busy",IF(E20&gt;=$K$9,"A little busy","Not too busy")))</f>
        <v/>
      </c>
      <c r="G20" s="3" t="str">
        <f aca="false">IF(E20="","",E20-C20)</f>
        <v/>
      </c>
    </row>
    <row r="21" customFormat="false" ht="15" hidden="false" customHeight="false" outlineLevel="0" collapsed="false">
      <c r="A21" s="3" t="s">
        <v>37</v>
      </c>
      <c r="B21" s="3" t="s">
        <v>11</v>
      </c>
      <c r="C21" s="4" t="n">
        <v>40</v>
      </c>
      <c r="D21" s="3" t="str">
        <f aca="false">IF(C21&lt;$K$11,"Quiet",IF(C21&lt;$K$12,"Moderate","Packed"))</f>
        <v>Moderate</v>
      </c>
      <c r="E21" s="5"/>
      <c r="F21" s="3" t="str">
        <f aca="false">IF(E21="","",IF(E21&gt;=$K$10,"Busy",IF(E21&gt;=$K$9,"A little busy","Not too busy")))</f>
        <v/>
      </c>
      <c r="G21" s="3" t="str">
        <f aca="false">IF(E21="","",E21-C21)</f>
        <v/>
      </c>
    </row>
    <row r="22" customFormat="false" ht="15" hidden="false" customHeight="false" outlineLevel="0" collapsed="false">
      <c r="A22" s="3" t="s">
        <v>37</v>
      </c>
      <c r="B22" s="3" t="s">
        <v>13</v>
      </c>
      <c r="C22" s="4" t="n">
        <v>34</v>
      </c>
      <c r="D22" s="3" t="str">
        <f aca="false">IF(C22&lt;$K$11,"Quiet",IF(C22&lt;$K$12,"Moderate","Packed"))</f>
        <v>Moderate</v>
      </c>
      <c r="E22" s="5"/>
      <c r="F22" s="3" t="str">
        <f aca="false">IF(E22="","",IF(E22&gt;=$K$10,"Busy",IF(E22&gt;=$K$9,"A little busy","Not too busy")))</f>
        <v/>
      </c>
      <c r="G22" s="3" t="str">
        <f aca="false">IF(E22="","",E22-C22)</f>
        <v/>
      </c>
    </row>
    <row r="23" customFormat="false" ht="15" hidden="false" customHeight="false" outlineLevel="0" collapsed="false">
      <c r="A23" s="3" t="s">
        <v>37</v>
      </c>
      <c r="B23" s="3" t="s">
        <v>15</v>
      </c>
      <c r="C23" s="4" t="n">
        <v>32</v>
      </c>
      <c r="D23" s="3" t="str">
        <f aca="false">IF(C23&lt;$K$11,"Quiet",IF(C23&lt;$K$12,"Moderate","Packed"))</f>
        <v>Quiet</v>
      </c>
      <c r="E23" s="5"/>
      <c r="F23" s="3" t="str">
        <f aca="false">IF(E23="","",IF(E23&gt;=$K$10,"Busy",IF(E23&gt;=$K$9,"A little busy","Not too busy")))</f>
        <v/>
      </c>
      <c r="G23" s="3" t="str">
        <f aca="false">IF(E23="","",E23-C23)</f>
        <v/>
      </c>
    </row>
    <row r="24" customFormat="false" ht="15" hidden="false" customHeight="false" outlineLevel="0" collapsed="false">
      <c r="A24" s="3" t="s">
        <v>37</v>
      </c>
      <c r="B24" s="3" t="s">
        <v>17</v>
      </c>
      <c r="C24" s="4" t="n">
        <v>42</v>
      </c>
      <c r="D24" s="3" t="str">
        <f aca="false">IF(C24&lt;$K$11,"Quiet",IF(C24&lt;$K$12,"Moderate","Packed"))</f>
        <v>Moderate</v>
      </c>
      <c r="E24" s="5"/>
      <c r="F24" s="3" t="str">
        <f aca="false">IF(E24="","",IF(E24&gt;=$K$10,"Busy",IF(E24&gt;=$K$9,"A little busy","Not too busy")))</f>
        <v/>
      </c>
      <c r="G24" s="3" t="str">
        <f aca="false">IF(E24="","",E24-C24)</f>
        <v/>
      </c>
    </row>
    <row r="25" customFormat="false" ht="15" hidden="false" customHeight="false" outlineLevel="0" collapsed="false">
      <c r="A25" s="3" t="s">
        <v>37</v>
      </c>
      <c r="B25" s="3" t="s">
        <v>19</v>
      </c>
      <c r="C25" s="4" t="n">
        <v>55</v>
      </c>
      <c r="D25" s="3" t="str">
        <f aca="false">IF(C25&lt;$K$11,"Quiet",IF(C25&lt;$K$12,"Moderate","Packed"))</f>
        <v>Moderate</v>
      </c>
      <c r="E25" s="5"/>
      <c r="F25" s="3" t="str">
        <f aca="false">IF(E25="","",IF(E25&gt;=$K$10,"Busy",IF(E25&gt;=$K$9,"A little busy","Not too busy")))</f>
        <v/>
      </c>
      <c r="G25" s="3" t="str">
        <f aca="false">IF(E25="","",E25-C25)</f>
        <v/>
      </c>
    </row>
    <row r="26" customFormat="false" ht="15" hidden="false" customHeight="false" outlineLevel="0" collapsed="false">
      <c r="A26" s="3" t="s">
        <v>37</v>
      </c>
      <c r="B26" s="3" t="s">
        <v>20</v>
      </c>
      <c r="C26" s="4" t="n">
        <v>52</v>
      </c>
      <c r="D26" s="3" t="str">
        <f aca="false">IF(C26&lt;$K$11,"Quiet",IF(C26&lt;$K$12,"Moderate","Packed"))</f>
        <v>Moderate</v>
      </c>
      <c r="E26" s="5"/>
      <c r="F26" s="3" t="str">
        <f aca="false">IF(E26="","",IF(E26&gt;=$K$10,"Busy",IF(E26&gt;=$K$9,"A little busy","Not too busy")))</f>
        <v/>
      </c>
      <c r="G26" s="3" t="str">
        <f aca="false">IF(E26="","",E26-C26)</f>
        <v/>
      </c>
    </row>
    <row r="27" customFormat="false" ht="15" hidden="false" customHeight="false" outlineLevel="0" collapsed="false">
      <c r="A27" s="3" t="s">
        <v>37</v>
      </c>
      <c r="B27" s="3" t="s">
        <v>21</v>
      </c>
      <c r="C27" s="4" t="n">
        <v>40</v>
      </c>
      <c r="D27" s="3" t="str">
        <f aca="false">IF(C27&lt;$K$11,"Quiet",IF(C27&lt;$K$12,"Moderate","Packed"))</f>
        <v>Moderate</v>
      </c>
      <c r="E27" s="5"/>
      <c r="F27" s="3" t="str">
        <f aca="false">IF(E27="","",IF(E27&gt;=$K$10,"Busy",IF(E27&gt;=$K$9,"A little busy","Not too busy")))</f>
        <v/>
      </c>
      <c r="G27" s="3" t="str">
        <f aca="false">IF(E27="","",E27-C27)</f>
        <v/>
      </c>
    </row>
    <row r="28" customFormat="false" ht="15" hidden="false" customHeight="false" outlineLevel="0" collapsed="false">
      <c r="A28" s="3" t="s">
        <v>37</v>
      </c>
      <c r="B28" s="3" t="s">
        <v>23</v>
      </c>
      <c r="C28" s="4" t="n">
        <v>36</v>
      </c>
      <c r="D28" s="3" t="str">
        <f aca="false">IF(C28&lt;$K$11,"Quiet",IF(C28&lt;$K$12,"Moderate","Packed"))</f>
        <v>Moderate</v>
      </c>
      <c r="E28" s="5"/>
      <c r="F28" s="3" t="str">
        <f aca="false">IF(E28="","",IF(E28&gt;=$K$10,"Busy",IF(E28&gt;=$K$9,"A little busy","Not too busy")))</f>
        <v/>
      </c>
      <c r="G28" s="3" t="str">
        <f aca="false">IF(E28="","",E28-C28)</f>
        <v/>
      </c>
    </row>
    <row r="29" customFormat="false" ht="15" hidden="false" customHeight="false" outlineLevel="0" collapsed="false">
      <c r="A29" s="3" t="s">
        <v>37</v>
      </c>
      <c r="B29" s="3" t="s">
        <v>25</v>
      </c>
      <c r="C29" s="4" t="n">
        <v>50</v>
      </c>
      <c r="D29" s="3" t="str">
        <f aca="false">IF(C29&lt;$K$11,"Quiet",IF(C29&lt;$K$12,"Moderate","Packed"))</f>
        <v>Moderate</v>
      </c>
      <c r="E29" s="5"/>
      <c r="F29" s="3" t="str">
        <f aca="false">IF(E29="","",IF(E29&gt;=$K$10,"Busy",IF(E29&gt;=$K$9,"A little busy","Not too busy")))</f>
        <v/>
      </c>
      <c r="G29" s="3" t="str">
        <f aca="false">IF(E29="","",E29-C29)</f>
        <v/>
      </c>
    </row>
    <row r="30" customFormat="false" ht="15" hidden="false" customHeight="false" outlineLevel="0" collapsed="false">
      <c r="A30" s="3" t="s">
        <v>37</v>
      </c>
      <c r="B30" s="3" t="s">
        <v>27</v>
      </c>
      <c r="C30" s="4" t="n">
        <v>70</v>
      </c>
      <c r="D30" s="3" t="str">
        <f aca="false">IF(C30&lt;$K$11,"Quiet",IF(C30&lt;$K$12,"Moderate","Packed"))</f>
        <v>Packed</v>
      </c>
      <c r="E30" s="5"/>
      <c r="F30" s="3" t="str">
        <f aca="false">IF(E30="","",IF(E30&gt;=$K$10,"Busy",IF(E30&gt;=$K$9,"A little busy","Not too busy")))</f>
        <v/>
      </c>
      <c r="G30" s="3" t="str">
        <f aca="false">IF(E30="","",E30-C30)</f>
        <v/>
      </c>
    </row>
    <row r="31" customFormat="false" ht="15" hidden="false" customHeight="false" outlineLevel="0" collapsed="false">
      <c r="A31" s="3" t="s">
        <v>37</v>
      </c>
      <c r="B31" s="3" t="s">
        <v>29</v>
      </c>
      <c r="C31" s="4" t="n">
        <v>88</v>
      </c>
      <c r="D31" s="3" t="str">
        <f aca="false">IF(C31&lt;$K$11,"Quiet",IF(C31&lt;$K$12,"Moderate","Packed"))</f>
        <v>Packed</v>
      </c>
      <c r="E31" s="5"/>
      <c r="F31" s="3" t="str">
        <f aca="false">IF(E31="","",IF(E31&gt;=$K$10,"Busy",IF(E31&gt;=$K$9,"A little busy","Not too busy")))</f>
        <v/>
      </c>
      <c r="G31" s="3" t="str">
        <f aca="false">IF(E31="","",E31-C31)</f>
        <v/>
      </c>
    </row>
    <row r="32" customFormat="false" ht="15" hidden="false" customHeight="false" outlineLevel="0" collapsed="false">
      <c r="A32" s="3" t="s">
        <v>37</v>
      </c>
      <c r="B32" s="3" t="s">
        <v>31</v>
      </c>
      <c r="C32" s="4" t="n">
        <v>92</v>
      </c>
      <c r="D32" s="3" t="str">
        <f aca="false">IF(C32&lt;$K$11,"Quiet",IF(C32&lt;$K$12,"Moderate","Packed"))</f>
        <v>Packed</v>
      </c>
      <c r="E32" s="5"/>
      <c r="F32" s="3" t="str">
        <f aca="false">IF(E32="","",IF(E32&gt;=$K$10,"Busy",IF(E32&gt;=$K$9,"A little busy","Not too busy")))</f>
        <v/>
      </c>
      <c r="G32" s="3" t="str">
        <f aca="false">IF(E32="","",E32-C32)</f>
        <v/>
      </c>
    </row>
    <row r="33" customFormat="false" ht="15" hidden="false" customHeight="false" outlineLevel="0" collapsed="false">
      <c r="A33" s="3" t="s">
        <v>37</v>
      </c>
      <c r="B33" s="3" t="s">
        <v>32</v>
      </c>
      <c r="C33" s="4" t="n">
        <v>80</v>
      </c>
      <c r="D33" s="3" t="str">
        <f aca="false">IF(C33&lt;$K$11,"Quiet",IF(C33&lt;$K$12,"Moderate","Packed"))</f>
        <v>Packed</v>
      </c>
      <c r="E33" s="5"/>
      <c r="F33" s="3" t="str">
        <f aca="false">IF(E33="","",IF(E33&gt;=$K$10,"Busy",IF(E33&gt;=$K$9,"A little busy","Not too busy")))</f>
        <v/>
      </c>
      <c r="G33" s="3" t="str">
        <f aca="false">IF(E33="","",E33-C33)</f>
        <v/>
      </c>
    </row>
    <row r="34" customFormat="false" ht="15" hidden="false" customHeight="false" outlineLevel="0" collapsed="false">
      <c r="A34" s="3" t="s">
        <v>37</v>
      </c>
      <c r="B34" s="3" t="s">
        <v>33</v>
      </c>
      <c r="C34" s="4" t="n">
        <v>62</v>
      </c>
      <c r="D34" s="3" t="str">
        <f aca="false">IF(C34&lt;$K$11,"Quiet",IF(C34&lt;$K$12,"Moderate","Packed"))</f>
        <v>Moderate</v>
      </c>
      <c r="E34" s="5"/>
      <c r="F34" s="3" t="str">
        <f aca="false">IF(E34="","",IF(E34&gt;=$K$10,"Busy",IF(E34&gt;=$K$9,"A little busy","Not too busy")))</f>
        <v/>
      </c>
      <c r="G34" s="3" t="str">
        <f aca="false">IF(E34="","",E34-C34)</f>
        <v/>
      </c>
    </row>
    <row r="35" customFormat="false" ht="15" hidden="false" customHeight="false" outlineLevel="0" collapsed="false">
      <c r="A35" s="3" t="s">
        <v>37</v>
      </c>
      <c r="B35" s="3" t="s">
        <v>34</v>
      </c>
      <c r="C35" s="4" t="n">
        <v>44</v>
      </c>
      <c r="D35" s="3" t="str">
        <f aca="false">IF(C35&lt;$K$11,"Quiet",IF(C35&lt;$K$12,"Moderate","Packed"))</f>
        <v>Moderate</v>
      </c>
      <c r="E35" s="5"/>
      <c r="F35" s="3" t="str">
        <f aca="false">IF(E35="","",IF(E35&gt;=$K$10,"Busy",IF(E35&gt;=$K$9,"A little busy","Not too busy")))</f>
        <v/>
      </c>
      <c r="G35" s="3" t="str">
        <f aca="false">IF(E35="","",E35-C35)</f>
        <v/>
      </c>
    </row>
    <row r="36" customFormat="false" ht="15" hidden="false" customHeight="false" outlineLevel="0" collapsed="false">
      <c r="A36" s="3" t="s">
        <v>37</v>
      </c>
      <c r="B36" s="3" t="s">
        <v>35</v>
      </c>
      <c r="C36" s="4" t="n">
        <v>26</v>
      </c>
      <c r="D36" s="3" t="str">
        <f aca="false">IF(C36&lt;$K$11,"Quiet",IF(C36&lt;$K$12,"Moderate","Packed"))</f>
        <v>Quiet</v>
      </c>
      <c r="E36" s="5"/>
      <c r="F36" s="3" t="str">
        <f aca="false">IF(E36="","",IF(E36&gt;=$K$10,"Busy",IF(E36&gt;=$K$9,"A little busy","Not too busy")))</f>
        <v/>
      </c>
      <c r="G36" s="3" t="str">
        <f aca="false">IF(E36="","",E36-C36)</f>
        <v/>
      </c>
    </row>
    <row r="37" customFormat="false" ht="15" hidden="false" customHeight="false" outlineLevel="0" collapsed="false">
      <c r="A37" s="3" t="s">
        <v>37</v>
      </c>
      <c r="B37" s="3" t="s">
        <v>36</v>
      </c>
      <c r="C37" s="4" t="n">
        <v>12</v>
      </c>
      <c r="D37" s="3" t="str">
        <f aca="false">IF(C37&lt;$K$11,"Quiet",IF(C37&lt;$K$12,"Moderate","Packed"))</f>
        <v>Quiet</v>
      </c>
      <c r="E37" s="5"/>
      <c r="F37" s="3" t="str">
        <f aca="false">IF(E37="","",IF(E37&gt;=$K$10,"Busy",IF(E37&gt;=$K$9,"A little busy","Not too busy")))</f>
        <v/>
      </c>
      <c r="G37" s="3" t="str">
        <f aca="false">IF(E37="","",E37-C37)</f>
        <v/>
      </c>
    </row>
    <row r="38" customFormat="false" ht="15" hidden="false" customHeight="false" outlineLevel="0" collapsed="false">
      <c r="A38" s="3" t="s">
        <v>38</v>
      </c>
      <c r="B38" s="3" t="s">
        <v>9</v>
      </c>
      <c r="C38" s="4" t="n">
        <v>28</v>
      </c>
      <c r="D38" s="3" t="str">
        <f aca="false">IF(C38&lt;$K$11,"Quiet",IF(C38&lt;$K$12,"Moderate","Packed"))</f>
        <v>Quiet</v>
      </c>
      <c r="E38" s="5"/>
      <c r="F38" s="3" t="str">
        <f aca="false">IF(E38="","",IF(E38&gt;=$K$10,"Busy",IF(E38&gt;=$K$9,"A little busy","Not too busy")))</f>
        <v/>
      </c>
      <c r="G38" s="3" t="str">
        <f aca="false">IF(E38="","",E38-C38)</f>
        <v/>
      </c>
    </row>
    <row r="39" customFormat="false" ht="15" hidden="false" customHeight="false" outlineLevel="0" collapsed="false">
      <c r="A39" s="3" t="s">
        <v>38</v>
      </c>
      <c r="B39" s="3" t="s">
        <v>11</v>
      </c>
      <c r="C39" s="4" t="n">
        <v>36</v>
      </c>
      <c r="D39" s="3" t="str">
        <f aca="false">IF(C39&lt;$K$11,"Quiet",IF(C39&lt;$K$12,"Moderate","Packed"))</f>
        <v>Moderate</v>
      </c>
      <c r="E39" s="5"/>
      <c r="F39" s="3" t="str">
        <f aca="false">IF(E39="","",IF(E39&gt;=$K$10,"Busy",IF(E39&gt;=$K$9,"A little busy","Not too busy")))</f>
        <v/>
      </c>
      <c r="G39" s="3" t="str">
        <f aca="false">IF(E39="","",E39-C39)</f>
        <v/>
      </c>
    </row>
    <row r="40" customFormat="false" ht="15" hidden="false" customHeight="false" outlineLevel="0" collapsed="false">
      <c r="A40" s="3" t="s">
        <v>38</v>
      </c>
      <c r="B40" s="3" t="s">
        <v>13</v>
      </c>
      <c r="C40" s="4" t="n">
        <v>30</v>
      </c>
      <c r="D40" s="3" t="str">
        <f aca="false">IF(C40&lt;$K$11,"Quiet",IF(C40&lt;$K$12,"Moderate","Packed"))</f>
        <v>Quiet</v>
      </c>
      <c r="E40" s="5"/>
      <c r="F40" s="3" t="str">
        <f aca="false">IF(E40="","",IF(E40&gt;=$K$10,"Busy",IF(E40&gt;=$K$9,"A little busy","Not too busy")))</f>
        <v/>
      </c>
      <c r="G40" s="3" t="str">
        <f aca="false">IF(E40="","",E40-C40)</f>
        <v/>
      </c>
    </row>
    <row r="41" customFormat="false" ht="15" hidden="false" customHeight="false" outlineLevel="0" collapsed="false">
      <c r="A41" s="3" t="s">
        <v>38</v>
      </c>
      <c r="B41" s="3" t="s">
        <v>15</v>
      </c>
      <c r="C41" s="4" t="n">
        <v>28</v>
      </c>
      <c r="D41" s="3" t="str">
        <f aca="false">IF(C41&lt;$K$11,"Quiet",IF(C41&lt;$K$12,"Moderate","Packed"))</f>
        <v>Quiet</v>
      </c>
      <c r="E41" s="5"/>
      <c r="F41" s="3" t="str">
        <f aca="false">IF(E41="","",IF(E41&gt;=$K$10,"Busy",IF(E41&gt;=$K$9,"A little busy","Not too busy")))</f>
        <v/>
      </c>
      <c r="G41" s="3" t="str">
        <f aca="false">IF(E41="","",E41-C41)</f>
        <v/>
      </c>
    </row>
    <row r="42" customFormat="false" ht="15" hidden="false" customHeight="false" outlineLevel="0" collapsed="false">
      <c r="A42" s="3" t="s">
        <v>38</v>
      </c>
      <c r="B42" s="3" t="s">
        <v>17</v>
      </c>
      <c r="C42" s="4" t="n">
        <v>38</v>
      </c>
      <c r="D42" s="3" t="str">
        <f aca="false">IF(C42&lt;$K$11,"Quiet",IF(C42&lt;$K$12,"Moderate","Packed"))</f>
        <v>Moderate</v>
      </c>
      <c r="E42" s="5"/>
      <c r="F42" s="3" t="str">
        <f aca="false">IF(E42="","",IF(E42&gt;=$K$10,"Busy",IF(E42&gt;=$K$9,"A little busy","Not too busy")))</f>
        <v/>
      </c>
      <c r="G42" s="3" t="str">
        <f aca="false">IF(E42="","",E42-C42)</f>
        <v/>
      </c>
    </row>
    <row r="43" customFormat="false" ht="15" hidden="false" customHeight="false" outlineLevel="0" collapsed="false">
      <c r="A43" s="3" t="s">
        <v>38</v>
      </c>
      <c r="B43" s="3" t="s">
        <v>19</v>
      </c>
      <c r="C43" s="4" t="n">
        <v>50</v>
      </c>
      <c r="D43" s="3" t="str">
        <f aca="false">IF(C43&lt;$K$11,"Quiet",IF(C43&lt;$K$12,"Moderate","Packed"))</f>
        <v>Moderate</v>
      </c>
      <c r="E43" s="5"/>
      <c r="F43" s="3" t="str">
        <f aca="false">IF(E43="","",IF(E43&gt;=$K$10,"Busy",IF(E43&gt;=$K$9,"A little busy","Not too busy")))</f>
        <v/>
      </c>
      <c r="G43" s="3" t="str">
        <f aca="false">IF(E43="","",E43-C43)</f>
        <v/>
      </c>
    </row>
    <row r="44" customFormat="false" ht="15" hidden="false" customHeight="false" outlineLevel="0" collapsed="false">
      <c r="A44" s="3" t="s">
        <v>38</v>
      </c>
      <c r="B44" s="3" t="s">
        <v>20</v>
      </c>
      <c r="C44" s="4" t="n">
        <v>48</v>
      </c>
      <c r="D44" s="3" t="str">
        <f aca="false">IF(C44&lt;$K$11,"Quiet",IF(C44&lt;$K$12,"Moderate","Packed"))</f>
        <v>Moderate</v>
      </c>
      <c r="E44" s="5"/>
      <c r="F44" s="3" t="str">
        <f aca="false">IF(E44="","",IF(E44&gt;=$K$10,"Busy",IF(E44&gt;=$K$9,"A little busy","Not too busy")))</f>
        <v/>
      </c>
      <c r="G44" s="3" t="str">
        <f aca="false">IF(E44="","",E44-C44)</f>
        <v/>
      </c>
    </row>
    <row r="45" customFormat="false" ht="15" hidden="false" customHeight="false" outlineLevel="0" collapsed="false">
      <c r="A45" s="3" t="s">
        <v>38</v>
      </c>
      <c r="B45" s="3" t="s">
        <v>21</v>
      </c>
      <c r="C45" s="4" t="n">
        <v>36</v>
      </c>
      <c r="D45" s="3" t="str">
        <f aca="false">IF(C45&lt;$K$11,"Quiet",IF(C45&lt;$K$12,"Moderate","Packed"))</f>
        <v>Moderate</v>
      </c>
      <c r="E45" s="5"/>
      <c r="F45" s="3" t="str">
        <f aca="false">IF(E45="","",IF(E45&gt;=$K$10,"Busy",IF(E45&gt;=$K$9,"A little busy","Not too busy")))</f>
        <v/>
      </c>
      <c r="G45" s="3" t="str">
        <f aca="false">IF(E45="","",E45-C45)</f>
        <v/>
      </c>
    </row>
    <row r="46" customFormat="false" ht="15" hidden="false" customHeight="false" outlineLevel="0" collapsed="false">
      <c r="A46" s="3" t="s">
        <v>38</v>
      </c>
      <c r="B46" s="3" t="s">
        <v>23</v>
      </c>
      <c r="C46" s="4" t="n">
        <v>32</v>
      </c>
      <c r="D46" s="3" t="str">
        <f aca="false">IF(C46&lt;$K$11,"Quiet",IF(C46&lt;$K$12,"Moderate","Packed"))</f>
        <v>Quiet</v>
      </c>
      <c r="E46" s="5"/>
      <c r="F46" s="3" t="str">
        <f aca="false">IF(E46="","",IF(E46&gt;=$K$10,"Busy",IF(E46&gt;=$K$9,"A little busy","Not too busy")))</f>
        <v/>
      </c>
      <c r="G46" s="3" t="str">
        <f aca="false">IF(E46="","",E46-C46)</f>
        <v/>
      </c>
    </row>
    <row r="47" customFormat="false" ht="15" hidden="false" customHeight="false" outlineLevel="0" collapsed="false">
      <c r="A47" s="3" t="s">
        <v>38</v>
      </c>
      <c r="B47" s="3" t="s">
        <v>25</v>
      </c>
      <c r="C47" s="4" t="n">
        <v>46</v>
      </c>
      <c r="D47" s="3" t="str">
        <f aca="false">IF(C47&lt;$K$11,"Quiet",IF(C47&lt;$K$12,"Moderate","Packed"))</f>
        <v>Moderate</v>
      </c>
      <c r="E47" s="5"/>
      <c r="F47" s="3" t="str">
        <f aca="false">IF(E47="","",IF(E47&gt;=$K$10,"Busy",IF(E47&gt;=$K$9,"A little busy","Not too busy")))</f>
        <v/>
      </c>
      <c r="G47" s="3" t="str">
        <f aca="false">IF(E47="","",E47-C47)</f>
        <v/>
      </c>
    </row>
    <row r="48" customFormat="false" ht="15" hidden="false" customHeight="false" outlineLevel="0" collapsed="false">
      <c r="A48" s="3" t="s">
        <v>38</v>
      </c>
      <c r="B48" s="3" t="s">
        <v>27</v>
      </c>
      <c r="C48" s="4" t="n">
        <v>66</v>
      </c>
      <c r="D48" s="3" t="str">
        <f aca="false">IF(C48&lt;$K$11,"Quiet",IF(C48&lt;$K$12,"Moderate","Packed"))</f>
        <v>Moderate</v>
      </c>
      <c r="E48" s="5"/>
      <c r="F48" s="3" t="str">
        <f aca="false">IF(E48="","",IF(E48&gt;=$K$10,"Busy",IF(E48&gt;=$K$9,"A little busy","Not too busy")))</f>
        <v/>
      </c>
      <c r="G48" s="3" t="str">
        <f aca="false">IF(E48="","",E48-C48)</f>
        <v/>
      </c>
    </row>
    <row r="49" customFormat="false" ht="15" hidden="false" customHeight="false" outlineLevel="0" collapsed="false">
      <c r="A49" s="3" t="s">
        <v>38</v>
      </c>
      <c r="B49" s="3" t="s">
        <v>29</v>
      </c>
      <c r="C49" s="4" t="n">
        <v>82</v>
      </c>
      <c r="D49" s="3" t="str">
        <f aca="false">IF(C49&lt;$K$11,"Quiet",IF(C49&lt;$K$12,"Moderate","Packed"))</f>
        <v>Packed</v>
      </c>
      <c r="E49" s="5"/>
      <c r="F49" s="3" t="str">
        <f aca="false">IF(E49="","",IF(E49&gt;=$K$10,"Busy",IF(E49&gt;=$K$9,"A little busy","Not too busy")))</f>
        <v/>
      </c>
      <c r="G49" s="3" t="str">
        <f aca="false">IF(E49="","",E49-C49)</f>
        <v/>
      </c>
    </row>
    <row r="50" customFormat="false" ht="15" hidden="false" customHeight="false" outlineLevel="0" collapsed="false">
      <c r="A50" s="3" t="s">
        <v>38</v>
      </c>
      <c r="B50" s="3" t="s">
        <v>31</v>
      </c>
      <c r="C50" s="4" t="n">
        <v>88</v>
      </c>
      <c r="D50" s="3" t="str">
        <f aca="false">IF(C50&lt;$K$11,"Quiet",IF(C50&lt;$K$12,"Moderate","Packed"))</f>
        <v>Packed</v>
      </c>
      <c r="E50" s="5"/>
      <c r="F50" s="3" t="str">
        <f aca="false">IF(E50="","",IF(E50&gt;=$K$10,"Busy",IF(E50&gt;=$K$9,"A little busy","Not too busy")))</f>
        <v/>
      </c>
      <c r="G50" s="3" t="str">
        <f aca="false">IF(E50="","",E50-C50)</f>
        <v/>
      </c>
    </row>
    <row r="51" customFormat="false" ht="15" hidden="false" customHeight="false" outlineLevel="0" collapsed="false">
      <c r="A51" s="3" t="s">
        <v>38</v>
      </c>
      <c r="B51" s="3" t="s">
        <v>32</v>
      </c>
      <c r="C51" s="4" t="n">
        <v>76</v>
      </c>
      <c r="D51" s="3" t="str">
        <f aca="false">IF(C51&lt;$K$11,"Quiet",IF(C51&lt;$K$12,"Moderate","Packed"))</f>
        <v>Packed</v>
      </c>
      <c r="E51" s="5"/>
      <c r="F51" s="3" t="str">
        <f aca="false">IF(E51="","",IF(E51&gt;=$K$10,"Busy",IF(E51&gt;=$K$9,"A little busy","Not too busy")))</f>
        <v/>
      </c>
      <c r="G51" s="3" t="str">
        <f aca="false">IF(E51="","",E51-C51)</f>
        <v/>
      </c>
    </row>
    <row r="52" customFormat="false" ht="15" hidden="false" customHeight="false" outlineLevel="0" collapsed="false">
      <c r="A52" s="3" t="s">
        <v>38</v>
      </c>
      <c r="B52" s="3" t="s">
        <v>33</v>
      </c>
      <c r="C52" s="4" t="n">
        <v>58</v>
      </c>
      <c r="D52" s="3" t="str">
        <f aca="false">IF(C52&lt;$K$11,"Quiet",IF(C52&lt;$K$12,"Moderate","Packed"))</f>
        <v>Moderate</v>
      </c>
      <c r="E52" s="5"/>
      <c r="F52" s="3" t="str">
        <f aca="false">IF(E52="","",IF(E52&gt;=$K$10,"Busy",IF(E52&gt;=$K$9,"A little busy","Not too busy")))</f>
        <v/>
      </c>
      <c r="G52" s="3" t="str">
        <f aca="false">IF(E52="","",E52-C52)</f>
        <v/>
      </c>
    </row>
    <row r="53" customFormat="false" ht="15" hidden="false" customHeight="false" outlineLevel="0" collapsed="false">
      <c r="A53" s="3" t="s">
        <v>38</v>
      </c>
      <c r="B53" s="3" t="s">
        <v>34</v>
      </c>
      <c r="C53" s="4" t="n">
        <v>40</v>
      </c>
      <c r="D53" s="3" t="str">
        <f aca="false">IF(C53&lt;$K$11,"Quiet",IF(C53&lt;$K$12,"Moderate","Packed"))</f>
        <v>Moderate</v>
      </c>
      <c r="E53" s="5"/>
      <c r="F53" s="3" t="str">
        <f aca="false">IF(E53="","",IF(E53&gt;=$K$10,"Busy",IF(E53&gt;=$K$9,"A little busy","Not too busy")))</f>
        <v/>
      </c>
      <c r="G53" s="3" t="str">
        <f aca="false">IF(E53="","",E53-C53)</f>
        <v/>
      </c>
    </row>
    <row r="54" customFormat="false" ht="15" hidden="false" customHeight="false" outlineLevel="0" collapsed="false">
      <c r="A54" s="3" t="s">
        <v>38</v>
      </c>
      <c r="B54" s="3" t="s">
        <v>35</v>
      </c>
      <c r="C54" s="4" t="n">
        <v>24</v>
      </c>
      <c r="D54" s="3" t="str">
        <f aca="false">IF(C54&lt;$K$11,"Quiet",IF(C54&lt;$K$12,"Moderate","Packed"))</f>
        <v>Quiet</v>
      </c>
      <c r="E54" s="5"/>
      <c r="F54" s="3" t="str">
        <f aca="false">IF(E54="","",IF(E54&gt;=$K$10,"Busy",IF(E54&gt;=$K$9,"A little busy","Not too busy")))</f>
        <v/>
      </c>
      <c r="G54" s="3" t="str">
        <f aca="false">IF(E54="","",E54-C54)</f>
        <v/>
      </c>
    </row>
    <row r="55" customFormat="false" ht="15" hidden="false" customHeight="false" outlineLevel="0" collapsed="false">
      <c r="A55" s="3" t="s">
        <v>38</v>
      </c>
      <c r="B55" s="3" t="s">
        <v>36</v>
      </c>
      <c r="C55" s="4" t="n">
        <v>10</v>
      </c>
      <c r="D55" s="3" t="str">
        <f aca="false">IF(C55&lt;$K$11,"Quiet",IF(C55&lt;$K$12,"Moderate","Packed"))</f>
        <v>Quiet</v>
      </c>
      <c r="E55" s="5"/>
      <c r="F55" s="3" t="str">
        <f aca="false">IF(E55="","",IF(E55&gt;=$K$10,"Busy",IF(E55&gt;=$K$9,"A little busy","Not too busy")))</f>
        <v/>
      </c>
      <c r="G55" s="3" t="str">
        <f aca="false">IF(E55="","",E55-C55)</f>
        <v/>
      </c>
    </row>
    <row r="56" customFormat="false" ht="15" hidden="false" customHeight="false" outlineLevel="0" collapsed="false">
      <c r="A56" s="3" t="s">
        <v>39</v>
      </c>
      <c r="B56" s="3" t="s">
        <v>9</v>
      </c>
      <c r="C56" s="4" t="n">
        <v>31</v>
      </c>
      <c r="D56" s="3" t="str">
        <f aca="false">IF(C56&lt;$K$11,"Quiet",IF(C56&lt;$K$12,"Moderate","Packed"))</f>
        <v>Quiet</v>
      </c>
      <c r="E56" s="5"/>
      <c r="F56" s="3" t="str">
        <f aca="false">IF(E56="","",IF(E56&gt;=$K$10,"Busy",IF(E56&gt;=$K$9,"A little busy","Not too busy")))</f>
        <v/>
      </c>
      <c r="G56" s="3" t="str">
        <f aca="false">IF(E56="","",E56-C56)</f>
        <v/>
      </c>
    </row>
    <row r="57" customFormat="false" ht="15" hidden="false" customHeight="false" outlineLevel="0" collapsed="false">
      <c r="A57" s="3" t="s">
        <v>39</v>
      </c>
      <c r="B57" s="3" t="s">
        <v>11</v>
      </c>
      <c r="C57" s="4" t="n">
        <v>39</v>
      </c>
      <c r="D57" s="3" t="str">
        <f aca="false">IF(C57&lt;$K$11,"Quiet",IF(C57&lt;$K$12,"Moderate","Packed"))</f>
        <v>Moderate</v>
      </c>
      <c r="E57" s="5"/>
      <c r="F57" s="3" t="str">
        <f aca="false">IF(E57="","",IF(E57&gt;=$K$10,"Busy",IF(E57&gt;=$K$9,"A little busy","Not too busy")))</f>
        <v/>
      </c>
      <c r="G57" s="3" t="str">
        <f aca="false">IF(E57="","",E57-C57)</f>
        <v/>
      </c>
    </row>
    <row r="58" customFormat="false" ht="15" hidden="false" customHeight="false" outlineLevel="0" collapsed="false">
      <c r="A58" s="3" t="s">
        <v>39</v>
      </c>
      <c r="B58" s="3" t="s">
        <v>13</v>
      </c>
      <c r="C58" s="4" t="n">
        <v>33</v>
      </c>
      <c r="D58" s="3" t="str">
        <f aca="false">IF(C58&lt;$K$11,"Quiet",IF(C58&lt;$K$12,"Moderate","Packed"))</f>
        <v>Quiet</v>
      </c>
      <c r="E58" s="5"/>
      <c r="F58" s="3" t="str">
        <f aca="false">IF(E58="","",IF(E58&gt;=$K$10,"Busy",IF(E58&gt;=$K$9,"A little busy","Not too busy")))</f>
        <v/>
      </c>
      <c r="G58" s="3" t="str">
        <f aca="false">IF(E58="","",E58-C58)</f>
        <v/>
      </c>
    </row>
    <row r="59" customFormat="false" ht="15" hidden="false" customHeight="false" outlineLevel="0" collapsed="false">
      <c r="A59" s="3" t="s">
        <v>39</v>
      </c>
      <c r="B59" s="3" t="s">
        <v>15</v>
      </c>
      <c r="C59" s="4" t="n">
        <v>31</v>
      </c>
      <c r="D59" s="3" t="str">
        <f aca="false">IF(C59&lt;$K$11,"Quiet",IF(C59&lt;$K$12,"Moderate","Packed"))</f>
        <v>Quiet</v>
      </c>
      <c r="E59" s="5"/>
      <c r="F59" s="3" t="str">
        <f aca="false">IF(E59="","",IF(E59&gt;=$K$10,"Busy",IF(E59&gt;=$K$9,"A little busy","Not too busy")))</f>
        <v/>
      </c>
      <c r="G59" s="3" t="str">
        <f aca="false">IF(E59="","",E59-C59)</f>
        <v/>
      </c>
    </row>
    <row r="60" customFormat="false" ht="15" hidden="false" customHeight="false" outlineLevel="0" collapsed="false">
      <c r="A60" s="3" t="s">
        <v>39</v>
      </c>
      <c r="B60" s="3" t="s">
        <v>17</v>
      </c>
      <c r="C60" s="4" t="n">
        <v>41</v>
      </c>
      <c r="D60" s="3" t="str">
        <f aca="false">IF(C60&lt;$K$11,"Quiet",IF(C60&lt;$K$12,"Moderate","Packed"))</f>
        <v>Moderate</v>
      </c>
      <c r="E60" s="5"/>
      <c r="F60" s="3" t="str">
        <f aca="false">IF(E60="","",IF(E60&gt;=$K$10,"Busy",IF(E60&gt;=$K$9,"A little busy","Not too busy")))</f>
        <v/>
      </c>
      <c r="G60" s="3" t="str">
        <f aca="false">IF(E60="","",E60-C60)</f>
        <v/>
      </c>
    </row>
    <row r="61" customFormat="false" ht="15" hidden="false" customHeight="false" outlineLevel="0" collapsed="false">
      <c r="A61" s="3" t="s">
        <v>39</v>
      </c>
      <c r="B61" s="3" t="s">
        <v>19</v>
      </c>
      <c r="C61" s="4" t="n">
        <v>54</v>
      </c>
      <c r="D61" s="3" t="str">
        <f aca="false">IF(C61&lt;$K$11,"Quiet",IF(C61&lt;$K$12,"Moderate","Packed"))</f>
        <v>Moderate</v>
      </c>
      <c r="E61" s="5"/>
      <c r="F61" s="3" t="str">
        <f aca="false">IF(E61="","",IF(E61&gt;=$K$10,"Busy",IF(E61&gt;=$K$9,"A little busy","Not too busy")))</f>
        <v/>
      </c>
      <c r="G61" s="3" t="str">
        <f aca="false">IF(E61="","",E61-C61)</f>
        <v/>
      </c>
    </row>
    <row r="62" customFormat="false" ht="15" hidden="false" customHeight="false" outlineLevel="0" collapsed="false">
      <c r="A62" s="3" t="s">
        <v>39</v>
      </c>
      <c r="B62" s="3" t="s">
        <v>20</v>
      </c>
      <c r="C62" s="4" t="n">
        <v>51</v>
      </c>
      <c r="D62" s="3" t="str">
        <f aca="false">IF(C62&lt;$K$11,"Quiet",IF(C62&lt;$K$12,"Moderate","Packed"))</f>
        <v>Moderate</v>
      </c>
      <c r="E62" s="5"/>
      <c r="F62" s="3" t="str">
        <f aca="false">IF(E62="","",IF(E62&gt;=$K$10,"Busy",IF(E62&gt;=$K$9,"A little busy","Not too busy")))</f>
        <v/>
      </c>
      <c r="G62" s="3" t="str">
        <f aca="false">IF(E62="","",E62-C62)</f>
        <v/>
      </c>
    </row>
    <row r="63" customFormat="false" ht="15" hidden="false" customHeight="false" outlineLevel="0" collapsed="false">
      <c r="A63" s="3" t="s">
        <v>39</v>
      </c>
      <c r="B63" s="3" t="s">
        <v>21</v>
      </c>
      <c r="C63" s="4" t="n">
        <v>39</v>
      </c>
      <c r="D63" s="3" t="str">
        <f aca="false">IF(C63&lt;$K$11,"Quiet",IF(C63&lt;$K$12,"Moderate","Packed"))</f>
        <v>Moderate</v>
      </c>
      <c r="E63" s="5"/>
      <c r="F63" s="3" t="str">
        <f aca="false">IF(E63="","",IF(E63&gt;=$K$10,"Busy",IF(E63&gt;=$K$9,"A little busy","Not too busy")))</f>
        <v/>
      </c>
      <c r="G63" s="3" t="str">
        <f aca="false">IF(E63="","",E63-C63)</f>
        <v/>
      </c>
    </row>
    <row r="64" customFormat="false" ht="15" hidden="false" customHeight="false" outlineLevel="0" collapsed="false">
      <c r="A64" s="3" t="s">
        <v>39</v>
      </c>
      <c r="B64" s="3" t="s">
        <v>23</v>
      </c>
      <c r="C64" s="4" t="n">
        <v>35</v>
      </c>
      <c r="D64" s="3" t="str">
        <f aca="false">IF(C64&lt;$K$11,"Quiet",IF(C64&lt;$K$12,"Moderate","Packed"))</f>
        <v>Moderate</v>
      </c>
      <c r="E64" s="5"/>
      <c r="F64" s="3" t="str">
        <f aca="false">IF(E64="","",IF(E64&gt;=$K$10,"Busy",IF(E64&gt;=$K$9,"A little busy","Not too busy")))</f>
        <v/>
      </c>
      <c r="G64" s="3" t="str">
        <f aca="false">IF(E64="","",E64-C64)</f>
        <v/>
      </c>
    </row>
    <row r="65" customFormat="false" ht="15" hidden="false" customHeight="false" outlineLevel="0" collapsed="false">
      <c r="A65" s="3" t="s">
        <v>39</v>
      </c>
      <c r="B65" s="3" t="s">
        <v>25</v>
      </c>
      <c r="C65" s="4" t="n">
        <v>49</v>
      </c>
      <c r="D65" s="3" t="str">
        <f aca="false">IF(C65&lt;$K$11,"Quiet",IF(C65&lt;$K$12,"Moderate","Packed"))</f>
        <v>Moderate</v>
      </c>
      <c r="E65" s="5"/>
      <c r="F65" s="3" t="str">
        <f aca="false">IF(E65="","",IF(E65&gt;=$K$10,"Busy",IF(E65&gt;=$K$9,"A little busy","Not too busy")))</f>
        <v/>
      </c>
      <c r="G65" s="3" t="str">
        <f aca="false">IF(E65="","",E65-C65)</f>
        <v/>
      </c>
    </row>
    <row r="66" customFormat="false" ht="15" hidden="false" customHeight="false" outlineLevel="0" collapsed="false">
      <c r="A66" s="3" t="s">
        <v>39</v>
      </c>
      <c r="B66" s="3" t="s">
        <v>27</v>
      </c>
      <c r="C66" s="4" t="n">
        <v>69</v>
      </c>
      <c r="D66" s="3" t="str">
        <f aca="false">IF(C66&lt;$K$11,"Quiet",IF(C66&lt;$K$12,"Moderate","Packed"))</f>
        <v>Packed</v>
      </c>
      <c r="E66" s="5"/>
      <c r="F66" s="3" t="str">
        <f aca="false">IF(E66="","",IF(E66&gt;=$K$10,"Busy",IF(E66&gt;=$K$9,"A little busy","Not too busy")))</f>
        <v/>
      </c>
      <c r="G66" s="3" t="str">
        <f aca="false">IF(E66="","",E66-C66)</f>
        <v/>
      </c>
    </row>
    <row r="67" customFormat="false" ht="15" hidden="false" customHeight="false" outlineLevel="0" collapsed="false">
      <c r="A67" s="3" t="s">
        <v>39</v>
      </c>
      <c r="B67" s="3" t="s">
        <v>29</v>
      </c>
      <c r="C67" s="4" t="n">
        <v>86</v>
      </c>
      <c r="D67" s="3" t="str">
        <f aca="false">IF(C67&lt;$K$11,"Quiet",IF(C67&lt;$K$12,"Moderate","Packed"))</f>
        <v>Packed</v>
      </c>
      <c r="E67" s="5"/>
      <c r="F67" s="3" t="str">
        <f aca="false">IF(E67="","",IF(E67&gt;=$K$10,"Busy",IF(E67&gt;=$K$9,"A little busy","Not too busy")))</f>
        <v/>
      </c>
      <c r="G67" s="3" t="str">
        <f aca="false">IF(E67="","",E67-C67)</f>
        <v/>
      </c>
    </row>
    <row r="68" customFormat="false" ht="15" hidden="false" customHeight="false" outlineLevel="0" collapsed="false">
      <c r="A68" s="3" t="s">
        <v>39</v>
      </c>
      <c r="B68" s="3" t="s">
        <v>31</v>
      </c>
      <c r="C68" s="4" t="n">
        <v>91</v>
      </c>
      <c r="D68" s="3" t="str">
        <f aca="false">IF(C68&lt;$K$11,"Quiet",IF(C68&lt;$K$12,"Moderate","Packed"))</f>
        <v>Packed</v>
      </c>
      <c r="E68" s="5"/>
      <c r="F68" s="3" t="str">
        <f aca="false">IF(E68="","",IF(E68&gt;=$K$10,"Busy",IF(E68&gt;=$K$9,"A little busy","Not too busy")))</f>
        <v/>
      </c>
      <c r="G68" s="3" t="str">
        <f aca="false">IF(E68="","",E68-C68)</f>
        <v/>
      </c>
    </row>
    <row r="69" customFormat="false" ht="15" hidden="false" customHeight="false" outlineLevel="0" collapsed="false">
      <c r="A69" s="3" t="s">
        <v>39</v>
      </c>
      <c r="B69" s="3" t="s">
        <v>32</v>
      </c>
      <c r="C69" s="4" t="n">
        <v>79</v>
      </c>
      <c r="D69" s="3" t="str">
        <f aca="false">IF(C69&lt;$K$11,"Quiet",IF(C69&lt;$K$12,"Moderate","Packed"))</f>
        <v>Packed</v>
      </c>
      <c r="E69" s="5"/>
      <c r="F69" s="3" t="str">
        <f aca="false">IF(E69="","",IF(E69&gt;=$K$10,"Busy",IF(E69&gt;=$K$9,"A little busy","Not too busy")))</f>
        <v/>
      </c>
      <c r="G69" s="3" t="str">
        <f aca="false">IF(E69="","",E69-C69)</f>
        <v/>
      </c>
    </row>
    <row r="70" customFormat="false" ht="15" hidden="false" customHeight="false" outlineLevel="0" collapsed="false">
      <c r="A70" s="3" t="s">
        <v>39</v>
      </c>
      <c r="B70" s="3" t="s">
        <v>33</v>
      </c>
      <c r="C70" s="4" t="n">
        <v>61</v>
      </c>
      <c r="D70" s="3" t="str">
        <f aca="false">IF(C70&lt;$K$11,"Quiet",IF(C70&lt;$K$12,"Moderate","Packed"))</f>
        <v>Moderate</v>
      </c>
      <c r="E70" s="5"/>
      <c r="F70" s="3" t="str">
        <f aca="false">IF(E70="","",IF(E70&gt;=$K$10,"Busy",IF(E70&gt;=$K$9,"A little busy","Not too busy")))</f>
        <v/>
      </c>
      <c r="G70" s="3" t="str">
        <f aca="false">IF(E70="","",E70-C70)</f>
        <v/>
      </c>
    </row>
    <row r="71" customFormat="false" ht="15" hidden="false" customHeight="false" outlineLevel="0" collapsed="false">
      <c r="A71" s="3" t="s">
        <v>39</v>
      </c>
      <c r="B71" s="3" t="s">
        <v>34</v>
      </c>
      <c r="C71" s="4" t="n">
        <v>43</v>
      </c>
      <c r="D71" s="3" t="str">
        <f aca="false">IF(C71&lt;$K$11,"Quiet",IF(C71&lt;$K$12,"Moderate","Packed"))</f>
        <v>Moderate</v>
      </c>
      <c r="E71" s="5"/>
      <c r="F71" s="3" t="str">
        <f aca="false">IF(E71="","",IF(E71&gt;=$K$10,"Busy",IF(E71&gt;=$K$9,"A little busy","Not too busy")))</f>
        <v/>
      </c>
      <c r="G71" s="3" t="str">
        <f aca="false">IF(E71="","",E71-C71)</f>
        <v/>
      </c>
    </row>
    <row r="72" customFormat="false" ht="15" hidden="false" customHeight="false" outlineLevel="0" collapsed="false">
      <c r="A72" s="3" t="s">
        <v>39</v>
      </c>
      <c r="B72" s="3" t="s">
        <v>35</v>
      </c>
      <c r="C72" s="4" t="n">
        <v>25</v>
      </c>
      <c r="D72" s="3" t="str">
        <f aca="false">IF(C72&lt;$K$11,"Quiet",IF(C72&lt;$K$12,"Moderate","Packed"))</f>
        <v>Quiet</v>
      </c>
      <c r="E72" s="5"/>
      <c r="F72" s="3" t="str">
        <f aca="false">IF(E72="","",IF(E72&gt;=$K$10,"Busy",IF(E72&gt;=$K$9,"A little busy","Not too busy")))</f>
        <v/>
      </c>
      <c r="G72" s="3" t="str">
        <f aca="false">IF(E72="","",E72-C72)</f>
        <v/>
      </c>
    </row>
    <row r="73" customFormat="false" ht="15" hidden="false" customHeight="false" outlineLevel="0" collapsed="false">
      <c r="A73" s="3" t="s">
        <v>39</v>
      </c>
      <c r="B73" s="3" t="s">
        <v>36</v>
      </c>
      <c r="C73" s="4" t="n">
        <v>11</v>
      </c>
      <c r="D73" s="3" t="str">
        <f aca="false">IF(C73&lt;$K$11,"Quiet",IF(C73&lt;$K$12,"Moderate","Packed"))</f>
        <v>Quiet</v>
      </c>
      <c r="E73" s="5"/>
      <c r="F73" s="3" t="str">
        <f aca="false">IF(E73="","",IF(E73&gt;=$K$10,"Busy",IF(E73&gt;=$K$9,"A little busy","Not too busy")))</f>
        <v/>
      </c>
      <c r="G73" s="3" t="str">
        <f aca="false">IF(E73="","",E73-C73)</f>
        <v/>
      </c>
    </row>
    <row r="74" customFormat="false" ht="15" hidden="false" customHeight="false" outlineLevel="0" collapsed="false">
      <c r="A74" s="3" t="s">
        <v>40</v>
      </c>
      <c r="B74" s="3" t="s">
        <v>9</v>
      </c>
      <c r="C74" s="4" t="n">
        <v>26</v>
      </c>
      <c r="D74" s="3" t="str">
        <f aca="false">IF(C74&lt;$K$11,"Quiet",IF(C74&lt;$K$12,"Moderate","Packed"))</f>
        <v>Quiet</v>
      </c>
      <c r="E74" s="5"/>
      <c r="F74" s="3" t="str">
        <f aca="false">IF(E74="","",IF(E74&gt;=$K$10,"Busy",IF(E74&gt;=$K$9,"A little busy","Not too busy")))</f>
        <v/>
      </c>
      <c r="G74" s="3" t="str">
        <f aca="false">IF(E74="","",E74-C74)</f>
        <v/>
      </c>
    </row>
    <row r="75" customFormat="false" ht="15" hidden="false" customHeight="false" outlineLevel="0" collapsed="false">
      <c r="A75" s="3" t="s">
        <v>40</v>
      </c>
      <c r="B75" s="3" t="s">
        <v>11</v>
      </c>
      <c r="C75" s="4" t="n">
        <v>34</v>
      </c>
      <c r="D75" s="3" t="str">
        <f aca="false">IF(C75&lt;$K$11,"Quiet",IF(C75&lt;$K$12,"Moderate","Packed"))</f>
        <v>Moderate</v>
      </c>
      <c r="E75" s="5"/>
      <c r="F75" s="3" t="str">
        <f aca="false">IF(E75="","",IF(E75&gt;=$K$10,"Busy",IF(E75&gt;=$K$9,"A little busy","Not too busy")))</f>
        <v/>
      </c>
      <c r="G75" s="3" t="str">
        <f aca="false">IF(E75="","",E75-C75)</f>
        <v/>
      </c>
    </row>
    <row r="76" customFormat="false" ht="15" hidden="false" customHeight="false" outlineLevel="0" collapsed="false">
      <c r="A76" s="3" t="s">
        <v>40</v>
      </c>
      <c r="B76" s="3" t="s">
        <v>13</v>
      </c>
      <c r="C76" s="4" t="n">
        <v>30</v>
      </c>
      <c r="D76" s="3" t="str">
        <f aca="false">IF(C76&lt;$K$11,"Quiet",IF(C76&lt;$K$12,"Moderate","Packed"))</f>
        <v>Quiet</v>
      </c>
      <c r="E76" s="5"/>
      <c r="F76" s="3" t="str">
        <f aca="false">IF(E76="","",IF(E76&gt;=$K$10,"Busy",IF(E76&gt;=$K$9,"A little busy","Not too busy")))</f>
        <v/>
      </c>
      <c r="G76" s="3" t="str">
        <f aca="false">IF(E76="","",E76-C76)</f>
        <v/>
      </c>
    </row>
    <row r="77" customFormat="false" ht="15" hidden="false" customHeight="false" outlineLevel="0" collapsed="false">
      <c r="A77" s="3" t="s">
        <v>40</v>
      </c>
      <c r="B77" s="3" t="s">
        <v>15</v>
      </c>
      <c r="C77" s="4" t="n">
        <v>32</v>
      </c>
      <c r="D77" s="3" t="str">
        <f aca="false">IF(C77&lt;$K$11,"Quiet",IF(C77&lt;$K$12,"Moderate","Packed"))</f>
        <v>Quiet</v>
      </c>
      <c r="E77" s="5"/>
      <c r="F77" s="3" t="str">
        <f aca="false">IF(E77="","",IF(E77&gt;=$K$10,"Busy",IF(E77&gt;=$K$9,"A little busy","Not too busy")))</f>
        <v/>
      </c>
      <c r="G77" s="3" t="str">
        <f aca="false">IF(E77="","",E77-C77)</f>
        <v/>
      </c>
    </row>
    <row r="78" customFormat="false" ht="15" hidden="false" customHeight="false" outlineLevel="0" collapsed="false">
      <c r="A78" s="3" t="s">
        <v>40</v>
      </c>
      <c r="B78" s="3" t="s">
        <v>17</v>
      </c>
      <c r="C78" s="4" t="n">
        <v>40</v>
      </c>
      <c r="D78" s="3" t="str">
        <f aca="false">IF(C78&lt;$K$11,"Quiet",IF(C78&lt;$K$12,"Moderate","Packed"))</f>
        <v>Moderate</v>
      </c>
      <c r="E78" s="5"/>
      <c r="F78" s="3" t="str">
        <f aca="false">IF(E78="","",IF(E78&gt;=$K$10,"Busy",IF(E78&gt;=$K$9,"A little busy","Not too busy")))</f>
        <v/>
      </c>
      <c r="G78" s="3" t="str">
        <f aca="false">IF(E78="","",E78-C78)</f>
        <v/>
      </c>
    </row>
    <row r="79" customFormat="false" ht="15" hidden="false" customHeight="false" outlineLevel="0" collapsed="false">
      <c r="A79" s="3" t="s">
        <v>40</v>
      </c>
      <c r="B79" s="3" t="s">
        <v>19</v>
      </c>
      <c r="C79" s="4" t="n">
        <v>48</v>
      </c>
      <c r="D79" s="3" t="str">
        <f aca="false">IF(C79&lt;$K$11,"Quiet",IF(C79&lt;$K$12,"Moderate","Packed"))</f>
        <v>Moderate</v>
      </c>
      <c r="E79" s="5"/>
      <c r="F79" s="3" t="str">
        <f aca="false">IF(E79="","",IF(E79&gt;=$K$10,"Busy",IF(E79&gt;=$K$9,"A little busy","Not too busy")))</f>
        <v/>
      </c>
      <c r="G79" s="3" t="str">
        <f aca="false">IF(E79="","",E79-C79)</f>
        <v/>
      </c>
    </row>
    <row r="80" customFormat="false" ht="15" hidden="false" customHeight="false" outlineLevel="0" collapsed="false">
      <c r="A80" s="3" t="s">
        <v>40</v>
      </c>
      <c r="B80" s="3" t="s">
        <v>20</v>
      </c>
      <c r="C80" s="4" t="n">
        <v>46</v>
      </c>
      <c r="D80" s="3" t="str">
        <f aca="false">IF(C80&lt;$K$11,"Quiet",IF(C80&lt;$K$12,"Moderate","Packed"))</f>
        <v>Moderate</v>
      </c>
      <c r="E80" s="5"/>
      <c r="F80" s="3" t="str">
        <f aca="false">IF(E80="","",IF(E80&gt;=$K$10,"Busy",IF(E80&gt;=$K$9,"A little busy","Not too busy")))</f>
        <v/>
      </c>
      <c r="G80" s="3" t="str">
        <f aca="false">IF(E80="","",E80-C80)</f>
        <v/>
      </c>
    </row>
    <row r="81" customFormat="false" ht="15" hidden="false" customHeight="false" outlineLevel="0" collapsed="false">
      <c r="A81" s="3" t="s">
        <v>40</v>
      </c>
      <c r="B81" s="3" t="s">
        <v>21</v>
      </c>
      <c r="C81" s="4" t="n">
        <v>36</v>
      </c>
      <c r="D81" s="3" t="str">
        <f aca="false">IF(C81&lt;$K$11,"Quiet",IF(C81&lt;$K$12,"Moderate","Packed"))</f>
        <v>Moderate</v>
      </c>
      <c r="E81" s="5"/>
      <c r="F81" s="3" t="str">
        <f aca="false">IF(E81="","",IF(E81&gt;=$K$10,"Busy",IF(E81&gt;=$K$9,"A little busy","Not too busy")))</f>
        <v/>
      </c>
      <c r="G81" s="3" t="str">
        <f aca="false">IF(E81="","",E81-C81)</f>
        <v/>
      </c>
    </row>
    <row r="82" customFormat="false" ht="15" hidden="false" customHeight="false" outlineLevel="0" collapsed="false">
      <c r="A82" s="3" t="s">
        <v>40</v>
      </c>
      <c r="B82" s="3" t="s">
        <v>23</v>
      </c>
      <c r="C82" s="4" t="n">
        <v>30</v>
      </c>
      <c r="D82" s="3" t="str">
        <f aca="false">IF(C82&lt;$K$11,"Quiet",IF(C82&lt;$K$12,"Moderate","Packed"))</f>
        <v>Quiet</v>
      </c>
      <c r="E82" s="5"/>
      <c r="F82" s="3" t="str">
        <f aca="false">IF(E82="","",IF(E82&gt;=$K$10,"Busy",IF(E82&gt;=$K$9,"A little busy","Not too busy")))</f>
        <v/>
      </c>
      <c r="G82" s="3" t="str">
        <f aca="false">IF(E82="","",E82-C82)</f>
        <v/>
      </c>
    </row>
    <row r="83" customFormat="false" ht="15" hidden="false" customHeight="false" outlineLevel="0" collapsed="false">
      <c r="A83" s="3" t="s">
        <v>40</v>
      </c>
      <c r="B83" s="3" t="s">
        <v>25</v>
      </c>
      <c r="C83" s="4" t="n">
        <v>40</v>
      </c>
      <c r="D83" s="3" t="str">
        <f aca="false">IF(C83&lt;$K$11,"Quiet",IF(C83&lt;$K$12,"Moderate","Packed"))</f>
        <v>Moderate</v>
      </c>
      <c r="E83" s="5"/>
      <c r="F83" s="3" t="str">
        <f aca="false">IF(E83="","",IF(E83&gt;=$K$10,"Busy",IF(E83&gt;=$K$9,"A little busy","Not too busy")))</f>
        <v/>
      </c>
      <c r="G83" s="3" t="str">
        <f aca="false">IF(E83="","",E83-C83)</f>
        <v/>
      </c>
    </row>
    <row r="84" customFormat="false" ht="15" hidden="false" customHeight="false" outlineLevel="0" collapsed="false">
      <c r="A84" s="3" t="s">
        <v>40</v>
      </c>
      <c r="B84" s="3" t="s">
        <v>27</v>
      </c>
      <c r="C84" s="4" t="n">
        <v>54</v>
      </c>
      <c r="D84" s="3" t="str">
        <f aca="false">IF(C84&lt;$K$11,"Quiet",IF(C84&lt;$K$12,"Moderate","Packed"))</f>
        <v>Moderate</v>
      </c>
      <c r="E84" s="5"/>
      <c r="F84" s="3" t="str">
        <f aca="false">IF(E84="","",IF(E84&gt;=$K$10,"Busy",IF(E84&gt;=$K$9,"A little busy","Not too busy")))</f>
        <v/>
      </c>
      <c r="G84" s="3" t="str">
        <f aca="false">IF(E84="","",E84-C84)</f>
        <v/>
      </c>
    </row>
    <row r="85" customFormat="false" ht="15" hidden="false" customHeight="false" outlineLevel="0" collapsed="false">
      <c r="A85" s="3" t="s">
        <v>40</v>
      </c>
      <c r="B85" s="3" t="s">
        <v>29</v>
      </c>
      <c r="C85" s="4" t="n">
        <v>66</v>
      </c>
      <c r="D85" s="3" t="str">
        <f aca="false">IF(C85&lt;$K$11,"Quiet",IF(C85&lt;$K$12,"Moderate","Packed"))</f>
        <v>Moderate</v>
      </c>
      <c r="E85" s="5"/>
      <c r="F85" s="3" t="str">
        <f aca="false">IF(E85="","",IF(E85&gt;=$K$10,"Busy",IF(E85&gt;=$K$9,"A little busy","Not too busy")))</f>
        <v/>
      </c>
      <c r="G85" s="3" t="str">
        <f aca="false">IF(E85="","",E85-C85)</f>
        <v/>
      </c>
    </row>
    <row r="86" customFormat="false" ht="15" hidden="false" customHeight="false" outlineLevel="0" collapsed="false">
      <c r="A86" s="3" t="s">
        <v>40</v>
      </c>
      <c r="B86" s="3" t="s">
        <v>31</v>
      </c>
      <c r="C86" s="4" t="n">
        <v>70</v>
      </c>
      <c r="D86" s="3" t="str">
        <f aca="false">IF(C86&lt;$K$11,"Quiet",IF(C86&lt;$K$12,"Moderate","Packed"))</f>
        <v>Packed</v>
      </c>
      <c r="E86" s="5"/>
      <c r="F86" s="3" t="str">
        <f aca="false">IF(E86="","",IF(E86&gt;=$K$10,"Busy",IF(E86&gt;=$K$9,"A little busy","Not too busy")))</f>
        <v/>
      </c>
      <c r="G86" s="3" t="str">
        <f aca="false">IF(E86="","",E86-C86)</f>
        <v/>
      </c>
    </row>
    <row r="87" customFormat="false" ht="15" hidden="false" customHeight="false" outlineLevel="0" collapsed="false">
      <c r="A87" s="3" t="s">
        <v>40</v>
      </c>
      <c r="B87" s="3" t="s">
        <v>32</v>
      </c>
      <c r="C87" s="4" t="n">
        <v>58</v>
      </c>
      <c r="D87" s="3" t="str">
        <f aca="false">IF(C87&lt;$K$11,"Quiet",IF(C87&lt;$K$12,"Moderate","Packed"))</f>
        <v>Moderate</v>
      </c>
      <c r="E87" s="5"/>
      <c r="F87" s="3" t="str">
        <f aca="false">IF(E87="","",IF(E87&gt;=$K$10,"Busy",IF(E87&gt;=$K$9,"A little busy","Not too busy")))</f>
        <v/>
      </c>
      <c r="G87" s="3" t="str">
        <f aca="false">IF(E87="","",E87-C87)</f>
        <v/>
      </c>
    </row>
    <row r="88" customFormat="false" ht="15" hidden="false" customHeight="false" outlineLevel="0" collapsed="false">
      <c r="A88" s="3" t="s">
        <v>40</v>
      </c>
      <c r="B88" s="3" t="s">
        <v>33</v>
      </c>
      <c r="C88" s="4" t="n">
        <v>42</v>
      </c>
      <c r="D88" s="3" t="str">
        <f aca="false">IF(C88&lt;$K$11,"Quiet",IF(C88&lt;$K$12,"Moderate","Packed"))</f>
        <v>Moderate</v>
      </c>
      <c r="E88" s="5"/>
      <c r="F88" s="3" t="str">
        <f aca="false">IF(E88="","",IF(E88&gt;=$K$10,"Busy",IF(E88&gt;=$K$9,"A little busy","Not too busy")))</f>
        <v/>
      </c>
      <c r="G88" s="3" t="str">
        <f aca="false">IF(E88="","",E88-C88)</f>
        <v/>
      </c>
    </row>
    <row r="89" customFormat="false" ht="15" hidden="false" customHeight="false" outlineLevel="0" collapsed="false">
      <c r="A89" s="3" t="s">
        <v>40</v>
      </c>
      <c r="B89" s="3" t="s">
        <v>34</v>
      </c>
      <c r="C89" s="4" t="n">
        <v>28</v>
      </c>
      <c r="D89" s="3" t="str">
        <f aca="false">IF(C89&lt;$K$11,"Quiet",IF(C89&lt;$K$12,"Moderate","Packed"))</f>
        <v>Quiet</v>
      </c>
      <c r="E89" s="5"/>
      <c r="F89" s="3" t="str">
        <f aca="false">IF(E89="","",IF(E89&gt;=$K$10,"Busy",IF(E89&gt;=$K$9,"A little busy","Not too busy")))</f>
        <v/>
      </c>
      <c r="G89" s="3" t="str">
        <f aca="false">IF(E89="","",E89-C89)</f>
        <v/>
      </c>
    </row>
    <row r="90" customFormat="false" ht="15" hidden="false" customHeight="false" outlineLevel="0" collapsed="false">
      <c r="A90" s="3" t="s">
        <v>40</v>
      </c>
      <c r="B90" s="3" t="s">
        <v>35</v>
      </c>
      <c r="C90" s="4" t="n">
        <v>16</v>
      </c>
      <c r="D90" s="3" t="str">
        <f aca="false">IF(C90&lt;$K$11,"Quiet",IF(C90&lt;$K$12,"Moderate","Packed"))</f>
        <v>Quiet</v>
      </c>
      <c r="E90" s="5"/>
      <c r="F90" s="3" t="str">
        <f aca="false">IF(E90="","",IF(E90&gt;=$K$10,"Busy",IF(E90&gt;=$K$9,"A little busy","Not too busy")))</f>
        <v/>
      </c>
      <c r="G90" s="3" t="str">
        <f aca="false">IF(E90="","",E90-C90)</f>
        <v/>
      </c>
    </row>
    <row r="91" customFormat="false" ht="15" hidden="false" customHeight="false" outlineLevel="0" collapsed="false">
      <c r="A91" s="3" t="s">
        <v>40</v>
      </c>
      <c r="B91" s="3" t="s">
        <v>36</v>
      </c>
      <c r="C91" s="4" t="n">
        <v>8</v>
      </c>
      <c r="D91" s="3" t="str">
        <f aca="false">IF(C91&lt;$K$11,"Quiet",IF(C91&lt;$K$12,"Moderate","Packed"))</f>
        <v>Quiet</v>
      </c>
      <c r="E91" s="5"/>
      <c r="F91" s="3" t="str">
        <f aca="false">IF(E91="","",IF(E91&gt;=$K$10,"Busy",IF(E91&gt;=$K$9,"A little busy","Not too busy")))</f>
        <v/>
      </c>
      <c r="G91" s="3" t="str">
        <f aca="false">IF(E91="","",E91-C91)</f>
        <v/>
      </c>
    </row>
    <row r="92" customFormat="false" ht="15" hidden="false" customHeight="false" outlineLevel="0" collapsed="false">
      <c r="A92" s="3" t="s">
        <v>41</v>
      </c>
      <c r="B92" s="3" t="s">
        <v>9</v>
      </c>
      <c r="C92" s="4" t="n">
        <v>8</v>
      </c>
      <c r="D92" s="3" t="str">
        <f aca="false">IF(C92&lt;$K$11,"Quiet",IF(C92&lt;$K$12,"Moderate","Packed"))</f>
        <v>Quiet</v>
      </c>
      <c r="E92" s="5"/>
      <c r="F92" s="3" t="str">
        <f aca="false">IF(E92="","",IF(E92&gt;=$K$10,"Busy",IF(E92&gt;=$K$9,"A little busy","Not too busy")))</f>
        <v/>
      </c>
      <c r="G92" s="3" t="str">
        <f aca="false">IF(E92="","",E92-C92)</f>
        <v/>
      </c>
    </row>
    <row r="93" customFormat="false" ht="15" hidden="false" customHeight="false" outlineLevel="0" collapsed="false">
      <c r="A93" s="3" t="s">
        <v>41</v>
      </c>
      <c r="B93" s="3" t="s">
        <v>11</v>
      </c>
      <c r="C93" s="4" t="n">
        <v>12</v>
      </c>
      <c r="D93" s="3" t="str">
        <f aca="false">IF(C93&lt;$K$11,"Quiet",IF(C93&lt;$K$12,"Moderate","Packed"))</f>
        <v>Quiet</v>
      </c>
      <c r="E93" s="5"/>
      <c r="F93" s="3" t="str">
        <f aca="false">IF(E93="","",IF(E93&gt;=$K$10,"Busy",IF(E93&gt;=$K$9,"A little busy","Not too busy")))</f>
        <v/>
      </c>
      <c r="G93" s="3" t="str">
        <f aca="false">IF(E93="","",E93-C93)</f>
        <v/>
      </c>
    </row>
    <row r="94" customFormat="false" ht="15" hidden="false" customHeight="false" outlineLevel="0" collapsed="false">
      <c r="A94" s="3" t="s">
        <v>41</v>
      </c>
      <c r="B94" s="3" t="s">
        <v>13</v>
      </c>
      <c r="C94" s="4" t="n">
        <v>22</v>
      </c>
      <c r="D94" s="3" t="str">
        <f aca="false">IF(C94&lt;$K$11,"Quiet",IF(C94&lt;$K$12,"Moderate","Packed"))</f>
        <v>Quiet</v>
      </c>
      <c r="E94" s="5" t="n">
        <v>50</v>
      </c>
      <c r="F94" s="3" t="str">
        <f aca="false">IF(E94="","",IF(E94&gt;=$K$10,"Busy",IF(E94&gt;=$K$9,"A little busy","Not too busy")))</f>
        <v>A little busy</v>
      </c>
      <c r="G94" s="3" t="n">
        <f aca="false">IF(E94="","",E94-C94)</f>
        <v>28</v>
      </c>
    </row>
    <row r="95" customFormat="false" ht="15" hidden="false" customHeight="false" outlineLevel="0" collapsed="false">
      <c r="A95" s="3" t="s">
        <v>41</v>
      </c>
      <c r="B95" s="3" t="s">
        <v>15</v>
      </c>
      <c r="C95" s="4" t="n">
        <v>38</v>
      </c>
      <c r="D95" s="3" t="str">
        <f aca="false">IF(C95&lt;$K$11,"Quiet",IF(C95&lt;$K$12,"Moderate","Packed"))</f>
        <v>Moderate</v>
      </c>
      <c r="E95" s="5"/>
      <c r="F95" s="3" t="str">
        <f aca="false">IF(E95="","",IF(E95&gt;=$K$10,"Busy",IF(E95&gt;=$K$9,"A little busy","Not too busy")))</f>
        <v/>
      </c>
      <c r="G95" s="3" t="str">
        <f aca="false">IF(E95="","",E95-C95)</f>
        <v/>
      </c>
    </row>
    <row r="96" customFormat="false" ht="15" hidden="false" customHeight="false" outlineLevel="0" collapsed="false">
      <c r="A96" s="3" t="s">
        <v>41</v>
      </c>
      <c r="B96" s="3" t="s">
        <v>17</v>
      </c>
      <c r="C96" s="4" t="n">
        <v>50</v>
      </c>
      <c r="D96" s="3" t="str">
        <f aca="false">IF(C96&lt;$K$11,"Quiet",IF(C96&lt;$K$12,"Moderate","Packed"))</f>
        <v>Moderate</v>
      </c>
      <c r="E96" s="5" t="n">
        <v>85</v>
      </c>
      <c r="F96" s="3" t="str">
        <f aca="false">IF(E96="","",IF(E96&gt;=$K$10,"Busy",IF(E96&gt;=$K$9,"A little busy","Not too busy")))</f>
        <v>A little busy</v>
      </c>
      <c r="G96" s="3" t="n">
        <f aca="false">IF(E96="","",E96-C96)</f>
        <v>35</v>
      </c>
    </row>
    <row r="97" customFormat="false" ht="15" hidden="false" customHeight="false" outlineLevel="0" collapsed="false">
      <c r="A97" s="3" t="s">
        <v>41</v>
      </c>
      <c r="B97" s="3" t="s">
        <v>19</v>
      </c>
      <c r="C97" s="4" t="n">
        <v>55</v>
      </c>
      <c r="D97" s="3" t="str">
        <f aca="false">IF(C97&lt;$K$11,"Quiet",IF(C97&lt;$K$12,"Moderate","Packed"))</f>
        <v>Moderate</v>
      </c>
      <c r="E97" s="5"/>
      <c r="F97" s="3" t="str">
        <f aca="false">IF(E97="","",IF(E97&gt;=$K$10,"Busy",IF(E97&gt;=$K$9,"A little busy","Not too busy")))</f>
        <v/>
      </c>
      <c r="G97" s="3" t="str">
        <f aca="false">IF(E97="","",E97-C97)</f>
        <v/>
      </c>
    </row>
    <row r="98" customFormat="false" ht="15" hidden="false" customHeight="false" outlineLevel="0" collapsed="false">
      <c r="A98" s="3" t="s">
        <v>41</v>
      </c>
      <c r="B98" s="3" t="s">
        <v>20</v>
      </c>
      <c r="C98" s="4" t="n">
        <v>52</v>
      </c>
      <c r="D98" s="3" t="str">
        <f aca="false">IF(C98&lt;$K$11,"Quiet",IF(C98&lt;$K$12,"Moderate","Packed"))</f>
        <v>Moderate</v>
      </c>
      <c r="E98" s="5" t="n">
        <v>78</v>
      </c>
      <c r="F98" s="3" t="str">
        <f aca="false">IF(E98="","",IF(E98&gt;=$K$10,"Busy",IF(E98&gt;=$K$9,"A little busy","Not too busy")))</f>
        <v>A little busy</v>
      </c>
      <c r="G98" s="3" t="n">
        <f aca="false">IF(E98="","",E98-C98)</f>
        <v>26</v>
      </c>
    </row>
    <row r="99" customFormat="false" ht="15" hidden="false" customHeight="false" outlineLevel="0" collapsed="false">
      <c r="A99" s="3" t="s">
        <v>41</v>
      </c>
      <c r="B99" s="3" t="s">
        <v>21</v>
      </c>
      <c r="C99" s="4" t="n">
        <v>45</v>
      </c>
      <c r="D99" s="3" t="str">
        <f aca="false">IF(C99&lt;$K$11,"Quiet",IF(C99&lt;$K$12,"Moderate","Packed"))</f>
        <v>Moderate</v>
      </c>
      <c r="E99" s="5"/>
      <c r="F99" s="3" t="str">
        <f aca="false">IF(E99="","",IF(E99&gt;=$K$10,"Busy",IF(E99&gt;=$K$9,"A little busy","Not too busy")))</f>
        <v/>
      </c>
      <c r="G99" s="3" t="str">
        <f aca="false">IF(E99="","",E99-C99)</f>
        <v/>
      </c>
    </row>
    <row r="100" customFormat="false" ht="15" hidden="false" customHeight="false" outlineLevel="0" collapsed="false">
      <c r="A100" s="3" t="s">
        <v>41</v>
      </c>
      <c r="B100" s="3" t="s">
        <v>23</v>
      </c>
      <c r="C100" s="4" t="n">
        <v>40</v>
      </c>
      <c r="D100" s="3" t="str">
        <f aca="false">IF(C100&lt;$K$11,"Quiet",IF(C100&lt;$K$12,"Moderate","Packed"))</f>
        <v>Moderate</v>
      </c>
      <c r="E100" s="5" t="n">
        <v>97</v>
      </c>
      <c r="F100" s="3" t="str">
        <f aca="false">IF(E100="","",IF(E100&gt;=$K$10,"Busy",IF(E100&gt;=$K$9,"A little busy","Not too busy")))</f>
        <v>A little busy</v>
      </c>
      <c r="G100" s="3" t="n">
        <f aca="false">IF(E100="","",E100-C100)</f>
        <v>57</v>
      </c>
    </row>
    <row r="101" customFormat="false" ht="15" hidden="false" customHeight="false" outlineLevel="0" collapsed="false">
      <c r="A101" s="3" t="s">
        <v>41</v>
      </c>
      <c r="B101" s="3" t="s">
        <v>25</v>
      </c>
      <c r="C101" s="4" t="n">
        <v>35</v>
      </c>
      <c r="D101" s="3" t="str">
        <f aca="false">IF(C101&lt;$K$11,"Quiet",IF(C101&lt;$K$12,"Moderate","Packed"))</f>
        <v>Moderate</v>
      </c>
      <c r="E101" s="5"/>
      <c r="F101" s="3" t="str">
        <f aca="false">IF(E101="","",IF(E101&gt;=$K$10,"Busy",IF(E101&gt;=$K$9,"A little busy","Not too busy")))</f>
        <v/>
      </c>
      <c r="G101" s="3" t="str">
        <f aca="false">IF(E101="","",E101-C101)</f>
        <v/>
      </c>
    </row>
    <row r="102" customFormat="false" ht="15" hidden="false" customHeight="false" outlineLevel="0" collapsed="false">
      <c r="A102" s="3" t="s">
        <v>41</v>
      </c>
      <c r="B102" s="3" t="s">
        <v>27</v>
      </c>
      <c r="C102" s="4" t="n">
        <v>30</v>
      </c>
      <c r="D102" s="3" t="str">
        <f aca="false">IF(C102&lt;$K$11,"Quiet",IF(C102&lt;$K$12,"Moderate","Packed"))</f>
        <v>Quiet</v>
      </c>
      <c r="E102" s="5" t="n">
        <v>88</v>
      </c>
      <c r="F102" s="3" t="str">
        <f aca="false">IF(E102="","",IF(E102&gt;=$K$10,"Busy",IF(E102&gt;=$K$9,"A little busy","Not too busy")))</f>
        <v>A little busy</v>
      </c>
      <c r="G102" s="3" t="n">
        <f aca="false">IF(E102="","",E102-C102)</f>
        <v>58</v>
      </c>
    </row>
    <row r="103" customFormat="false" ht="15" hidden="false" customHeight="false" outlineLevel="0" collapsed="false">
      <c r="A103" s="3" t="s">
        <v>41</v>
      </c>
      <c r="B103" s="3" t="s">
        <v>29</v>
      </c>
      <c r="C103" s="4" t="n">
        <v>24</v>
      </c>
      <c r="D103" s="3" t="str">
        <f aca="false">IF(C103&lt;$K$11,"Quiet",IF(C103&lt;$K$12,"Moderate","Packed"))</f>
        <v>Quiet</v>
      </c>
      <c r="E103" s="5" t="n">
        <v>100</v>
      </c>
      <c r="F103" s="3" t="str">
        <f aca="false">IF(E103="","",IF(E103&gt;=$K$10,"Busy",IF(E103&gt;=$K$9,"A little busy","Not too busy")))</f>
        <v>A little busy</v>
      </c>
      <c r="G103" s="3" t="n">
        <f aca="false">IF(E103="","",E103-C103)</f>
        <v>76</v>
      </c>
    </row>
    <row r="104" customFormat="false" ht="15" hidden="false" customHeight="false" outlineLevel="0" collapsed="false">
      <c r="A104" s="3" t="s">
        <v>41</v>
      </c>
      <c r="B104" s="3" t="s">
        <v>31</v>
      </c>
      <c r="C104" s="4" t="n">
        <v>18</v>
      </c>
      <c r="D104" s="3" t="str">
        <f aca="false">IF(C104&lt;$K$11,"Quiet",IF(C104&lt;$K$12,"Moderate","Packed"))</f>
        <v>Quiet</v>
      </c>
      <c r="E104" s="5" t="n">
        <v>99</v>
      </c>
      <c r="F104" s="3" t="str">
        <f aca="false">IF(E104="","",IF(E104&gt;=$K$10,"Busy",IF(E104&gt;=$K$9,"A little busy","Not too busy")))</f>
        <v>A little busy</v>
      </c>
      <c r="G104" s="3" t="n">
        <f aca="false">IF(E104="","",E104-C104)</f>
        <v>81</v>
      </c>
    </row>
    <row r="105" customFormat="false" ht="15" hidden="false" customHeight="false" outlineLevel="0" collapsed="false">
      <c r="A105" s="3" t="s">
        <v>41</v>
      </c>
      <c r="B105" s="3" t="s">
        <v>32</v>
      </c>
      <c r="C105" s="4" t="n">
        <v>12</v>
      </c>
      <c r="D105" s="3" t="str">
        <f aca="false">IF(C105&lt;$K$11,"Quiet",IF(C105&lt;$K$12,"Moderate","Packed"))</f>
        <v>Quiet</v>
      </c>
      <c r="E105" s="5"/>
      <c r="F105" s="3" t="str">
        <f aca="false">IF(E105="","",IF(E105&gt;=$K$10,"Busy",IF(E105&gt;=$K$9,"A little busy","Not too busy")))</f>
        <v/>
      </c>
      <c r="G105" s="3" t="str">
        <f aca="false">IF(E105="","",E105-C105)</f>
        <v/>
      </c>
    </row>
    <row r="106" customFormat="false" ht="15" hidden="false" customHeight="false" outlineLevel="0" collapsed="false">
      <c r="A106" s="3" t="s">
        <v>41</v>
      </c>
      <c r="B106" s="3" t="s">
        <v>33</v>
      </c>
      <c r="C106" s="4" t="n">
        <v>8</v>
      </c>
      <c r="D106" s="3" t="str">
        <f aca="false">IF(C106&lt;$K$11,"Quiet",IF(C106&lt;$K$12,"Moderate","Packed"))</f>
        <v>Quiet</v>
      </c>
      <c r="E106" s="5" t="n">
        <v>50</v>
      </c>
      <c r="F106" s="3" t="str">
        <f aca="false">IF(E106="","",IF(E106&gt;=$K$10,"Busy",IF(E106&gt;=$K$9,"A little busy","Not too busy")))</f>
        <v>A little busy</v>
      </c>
      <c r="G106" s="3" t="n">
        <f aca="false">IF(E106="","",E106-C106)</f>
        <v>42</v>
      </c>
    </row>
    <row r="107" customFormat="false" ht="15" hidden="false" customHeight="false" outlineLevel="0" collapsed="false">
      <c r="A107" s="3" t="s">
        <v>41</v>
      </c>
      <c r="B107" s="3" t="s">
        <v>34</v>
      </c>
      <c r="C107" s="4" t="n">
        <v>5</v>
      </c>
      <c r="D107" s="3" t="str">
        <f aca="false">IF(C107&lt;$K$11,"Quiet",IF(C107&lt;$K$12,"Moderate","Packed"))</f>
        <v>Quiet</v>
      </c>
      <c r="E107" s="5"/>
      <c r="F107" s="3" t="str">
        <f aca="false">IF(E107="","",IF(E107&gt;=$K$10,"Busy",IF(E107&gt;=$K$9,"A little busy","Not too busy")))</f>
        <v/>
      </c>
      <c r="G107" s="3" t="str">
        <f aca="false">IF(E107="","",E107-C107)</f>
        <v/>
      </c>
    </row>
    <row r="108" customFormat="false" ht="15" hidden="false" customHeight="false" outlineLevel="0" collapsed="false">
      <c r="A108" s="3" t="s">
        <v>41</v>
      </c>
      <c r="B108" s="3" t="s">
        <v>35</v>
      </c>
      <c r="C108" s="4" t="n">
        <v>3</v>
      </c>
      <c r="D108" s="3" t="str">
        <f aca="false">IF(C108&lt;$K$11,"Quiet",IF(C108&lt;$K$12,"Moderate","Packed"))</f>
        <v>Quiet</v>
      </c>
      <c r="E108" s="5"/>
      <c r="F108" s="3" t="str">
        <f aca="false">IF(E108="","",IF(E108&gt;=$K$10,"Busy",IF(E108&gt;=$K$9,"A little busy","Not too busy")))</f>
        <v/>
      </c>
      <c r="G108" s="3" t="str">
        <f aca="false">IF(E108="","",E108-C108)</f>
        <v/>
      </c>
    </row>
    <row r="109" customFormat="false" ht="15" hidden="false" customHeight="false" outlineLevel="0" collapsed="false">
      <c r="A109" s="3" t="s">
        <v>41</v>
      </c>
      <c r="B109" s="3" t="s">
        <v>36</v>
      </c>
      <c r="C109" s="4" t="n">
        <v>2</v>
      </c>
      <c r="D109" s="3" t="str">
        <f aca="false">IF(C109&lt;$K$11,"Quiet",IF(C109&lt;$K$12,"Moderate","Packed"))</f>
        <v>Quiet</v>
      </c>
      <c r="E109" s="5"/>
      <c r="F109" s="3" t="str">
        <f aca="false">IF(E109="","",IF(E109&gt;=$K$10,"Busy",IF(E109&gt;=$K$9,"A little busy","Not too busy")))</f>
        <v/>
      </c>
      <c r="G109" s="3" t="str">
        <f aca="false">IF(E109="","",E109-C109)</f>
        <v/>
      </c>
    </row>
    <row r="110" customFormat="false" ht="15" hidden="false" customHeight="false" outlineLevel="0" collapsed="false">
      <c r="A110" s="3" t="s">
        <v>42</v>
      </c>
      <c r="B110" s="3" t="s">
        <v>9</v>
      </c>
      <c r="C110" s="4" t="n">
        <v>6</v>
      </c>
      <c r="D110" s="3" t="str">
        <f aca="false">IF(C110&lt;$K$11,"Quiet",IF(C110&lt;$K$12,"Moderate","Packed"))</f>
        <v>Quiet</v>
      </c>
      <c r="E110" s="5"/>
      <c r="F110" s="3" t="str">
        <f aca="false">IF(E110="","",IF(E110&gt;=$K$10,"Busy",IF(E110&gt;=$K$9,"A little busy","Not too busy")))</f>
        <v/>
      </c>
      <c r="G110" s="3" t="str">
        <f aca="false">IF(E110="","",E110-C110)</f>
        <v/>
      </c>
    </row>
    <row r="111" customFormat="false" ht="15" hidden="false" customHeight="false" outlineLevel="0" collapsed="false">
      <c r="A111" s="3" t="s">
        <v>42</v>
      </c>
      <c r="B111" s="3" t="s">
        <v>11</v>
      </c>
      <c r="C111" s="4" t="n">
        <v>10</v>
      </c>
      <c r="D111" s="3" t="str">
        <f aca="false">IF(C111&lt;$K$11,"Quiet",IF(C111&lt;$K$12,"Moderate","Packed"))</f>
        <v>Quiet</v>
      </c>
      <c r="E111" s="5"/>
      <c r="F111" s="3" t="str">
        <f aca="false">IF(E111="","",IF(E111&gt;=$K$10,"Busy",IF(E111&gt;=$K$9,"A little busy","Not too busy")))</f>
        <v/>
      </c>
      <c r="G111" s="3" t="str">
        <f aca="false">IF(E111="","",E111-C111)</f>
        <v/>
      </c>
    </row>
    <row r="112" customFormat="false" ht="15" hidden="false" customHeight="false" outlineLevel="0" collapsed="false">
      <c r="A112" s="3" t="s">
        <v>42</v>
      </c>
      <c r="B112" s="3" t="s">
        <v>13</v>
      </c>
      <c r="C112" s="4" t="n">
        <v>18</v>
      </c>
      <c r="D112" s="3" t="str">
        <f aca="false">IF(C112&lt;$K$11,"Quiet",IF(C112&lt;$K$12,"Moderate","Packed"))</f>
        <v>Quiet</v>
      </c>
      <c r="E112" s="5"/>
      <c r="F112" s="3" t="str">
        <f aca="false">IF(E112="","",IF(E112&gt;=$K$10,"Busy",IF(E112&gt;=$K$9,"A little busy","Not too busy")))</f>
        <v/>
      </c>
      <c r="G112" s="3" t="str">
        <f aca="false">IF(E112="","",E112-C112)</f>
        <v/>
      </c>
    </row>
    <row r="113" customFormat="false" ht="15" hidden="false" customHeight="false" outlineLevel="0" collapsed="false">
      <c r="A113" s="3" t="s">
        <v>42</v>
      </c>
      <c r="B113" s="3" t="s">
        <v>15</v>
      </c>
      <c r="C113" s="4" t="n">
        <v>30</v>
      </c>
      <c r="D113" s="3" t="str">
        <f aca="false">IF(C113&lt;$K$11,"Quiet",IF(C113&lt;$K$12,"Moderate","Packed"))</f>
        <v>Quiet</v>
      </c>
      <c r="E113" s="5"/>
      <c r="F113" s="3" t="str">
        <f aca="false">IF(E113="","",IF(E113&gt;=$K$10,"Busy",IF(E113&gt;=$K$9,"A little busy","Not too busy")))</f>
        <v/>
      </c>
      <c r="G113" s="3" t="str">
        <f aca="false">IF(E113="","",E113-C113)</f>
        <v/>
      </c>
    </row>
    <row r="114" customFormat="false" ht="15" hidden="false" customHeight="false" outlineLevel="0" collapsed="false">
      <c r="A114" s="3" t="s">
        <v>42</v>
      </c>
      <c r="B114" s="3" t="s">
        <v>17</v>
      </c>
      <c r="C114" s="4" t="n">
        <v>42</v>
      </c>
      <c r="D114" s="3" t="str">
        <f aca="false">IF(C114&lt;$K$11,"Quiet",IF(C114&lt;$K$12,"Moderate","Packed"))</f>
        <v>Moderate</v>
      </c>
      <c r="E114" s="5"/>
      <c r="F114" s="3" t="str">
        <f aca="false">IF(E114="","",IF(E114&gt;=$K$10,"Busy",IF(E114&gt;=$K$9,"A little busy","Not too busy")))</f>
        <v/>
      </c>
      <c r="G114" s="3" t="str">
        <f aca="false">IF(E114="","",E114-C114)</f>
        <v/>
      </c>
    </row>
    <row r="115" customFormat="false" ht="15" hidden="false" customHeight="false" outlineLevel="0" collapsed="false">
      <c r="A115" s="3" t="s">
        <v>42</v>
      </c>
      <c r="B115" s="3" t="s">
        <v>19</v>
      </c>
      <c r="C115" s="4" t="n">
        <v>50</v>
      </c>
      <c r="D115" s="3" t="str">
        <f aca="false">IF(C115&lt;$K$11,"Quiet",IF(C115&lt;$K$12,"Moderate","Packed"))</f>
        <v>Moderate</v>
      </c>
      <c r="E115" s="5"/>
      <c r="F115" s="3" t="str">
        <f aca="false">IF(E115="","",IF(E115&gt;=$K$10,"Busy",IF(E115&gt;=$K$9,"A little busy","Not too busy")))</f>
        <v/>
      </c>
      <c r="G115" s="3" t="str">
        <f aca="false">IF(E115="","",E115-C115)</f>
        <v/>
      </c>
    </row>
    <row r="116" customFormat="false" ht="15" hidden="false" customHeight="false" outlineLevel="0" collapsed="false">
      <c r="A116" s="3" t="s">
        <v>42</v>
      </c>
      <c r="B116" s="3" t="s">
        <v>20</v>
      </c>
      <c r="C116" s="4" t="n">
        <v>54</v>
      </c>
      <c r="D116" s="3" t="str">
        <f aca="false">IF(C116&lt;$K$11,"Quiet",IF(C116&lt;$K$12,"Moderate","Packed"))</f>
        <v>Moderate</v>
      </c>
      <c r="E116" s="5"/>
      <c r="F116" s="3" t="str">
        <f aca="false">IF(E116="","",IF(E116&gt;=$K$10,"Busy",IF(E116&gt;=$K$9,"A little busy","Not too busy")))</f>
        <v/>
      </c>
      <c r="G116" s="3" t="str">
        <f aca="false">IF(E116="","",E116-C116)</f>
        <v/>
      </c>
    </row>
    <row r="117" customFormat="false" ht="15" hidden="false" customHeight="false" outlineLevel="0" collapsed="false">
      <c r="A117" s="3" t="s">
        <v>42</v>
      </c>
      <c r="B117" s="3" t="s">
        <v>21</v>
      </c>
      <c r="C117" s="4" t="n">
        <v>48</v>
      </c>
      <c r="D117" s="3" t="str">
        <f aca="false">IF(C117&lt;$K$11,"Quiet",IF(C117&lt;$K$12,"Moderate","Packed"))</f>
        <v>Moderate</v>
      </c>
      <c r="E117" s="5"/>
      <c r="F117" s="3" t="str">
        <f aca="false">IF(E117="","",IF(E117&gt;=$K$10,"Busy",IF(E117&gt;=$K$9,"A little busy","Not too busy")))</f>
        <v/>
      </c>
      <c r="G117" s="3" t="str">
        <f aca="false">IF(E117="","",E117-C117)</f>
        <v/>
      </c>
    </row>
    <row r="118" customFormat="false" ht="15" hidden="false" customHeight="false" outlineLevel="0" collapsed="false">
      <c r="A118" s="3" t="s">
        <v>42</v>
      </c>
      <c r="B118" s="3" t="s">
        <v>23</v>
      </c>
      <c r="C118" s="4" t="n">
        <v>42</v>
      </c>
      <c r="D118" s="3" t="str">
        <f aca="false">IF(C118&lt;$K$11,"Quiet",IF(C118&lt;$K$12,"Moderate","Packed"))</f>
        <v>Moderate</v>
      </c>
      <c r="E118" s="5"/>
      <c r="F118" s="3" t="str">
        <f aca="false">IF(E118="","",IF(E118&gt;=$K$10,"Busy",IF(E118&gt;=$K$9,"A little busy","Not too busy")))</f>
        <v/>
      </c>
      <c r="G118" s="3" t="str">
        <f aca="false">IF(E118="","",E118-C118)</f>
        <v/>
      </c>
    </row>
    <row r="119" customFormat="false" ht="15" hidden="false" customHeight="false" outlineLevel="0" collapsed="false">
      <c r="A119" s="3" t="s">
        <v>42</v>
      </c>
      <c r="B119" s="3" t="s">
        <v>25</v>
      </c>
      <c r="C119" s="4" t="n">
        <v>38</v>
      </c>
      <c r="D119" s="3" t="str">
        <f aca="false">IF(C119&lt;$K$11,"Quiet",IF(C119&lt;$K$12,"Moderate","Packed"))</f>
        <v>Moderate</v>
      </c>
      <c r="E119" s="5"/>
      <c r="F119" s="3" t="str">
        <f aca="false">IF(E119="","",IF(E119&gt;=$K$10,"Busy",IF(E119&gt;=$K$9,"A little busy","Not too busy")))</f>
        <v/>
      </c>
      <c r="G119" s="3" t="str">
        <f aca="false">IF(E119="","",E119-C119)</f>
        <v/>
      </c>
    </row>
    <row r="120" customFormat="false" ht="15" hidden="false" customHeight="false" outlineLevel="0" collapsed="false">
      <c r="A120" s="3" t="s">
        <v>42</v>
      </c>
      <c r="B120" s="3" t="s">
        <v>27</v>
      </c>
      <c r="C120" s="4" t="n">
        <v>36</v>
      </c>
      <c r="D120" s="3" t="str">
        <f aca="false">IF(C120&lt;$K$11,"Quiet",IF(C120&lt;$K$12,"Moderate","Packed"))</f>
        <v>Moderate</v>
      </c>
      <c r="E120" s="5"/>
      <c r="F120" s="3" t="str">
        <f aca="false">IF(E120="","",IF(E120&gt;=$K$10,"Busy",IF(E120&gt;=$K$9,"A little busy","Not too busy")))</f>
        <v/>
      </c>
      <c r="G120" s="3" t="str">
        <f aca="false">IF(E120="","",E120-C120)</f>
        <v/>
      </c>
    </row>
    <row r="121" customFormat="false" ht="15" hidden="false" customHeight="false" outlineLevel="0" collapsed="false">
      <c r="A121" s="3" t="s">
        <v>42</v>
      </c>
      <c r="B121" s="3" t="s">
        <v>29</v>
      </c>
      <c r="C121" s="4" t="n">
        <v>34</v>
      </c>
      <c r="D121" s="3" t="str">
        <f aca="false">IF(C121&lt;$K$11,"Quiet",IF(C121&lt;$K$12,"Moderate","Packed"))</f>
        <v>Moderate</v>
      </c>
      <c r="E121" s="5"/>
      <c r="F121" s="3" t="str">
        <f aca="false">IF(E121="","",IF(E121&gt;=$K$10,"Busy",IF(E121&gt;=$K$9,"A little busy","Not too busy")))</f>
        <v/>
      </c>
      <c r="G121" s="3" t="str">
        <f aca="false">IF(E121="","",E121-C121)</f>
        <v/>
      </c>
    </row>
    <row r="122" customFormat="false" ht="15" hidden="false" customHeight="false" outlineLevel="0" collapsed="false">
      <c r="A122" s="3" t="s">
        <v>42</v>
      </c>
      <c r="B122" s="3" t="s">
        <v>31</v>
      </c>
      <c r="C122" s="4" t="n">
        <v>30</v>
      </c>
      <c r="D122" s="3" t="str">
        <f aca="false">IF(C122&lt;$K$11,"Quiet",IF(C122&lt;$K$12,"Moderate","Packed"))</f>
        <v>Quiet</v>
      </c>
      <c r="E122" s="5"/>
      <c r="F122" s="3" t="str">
        <f aca="false">IF(E122="","",IF(E122&gt;=$K$10,"Busy",IF(E122&gt;=$K$9,"A little busy","Not too busy")))</f>
        <v/>
      </c>
      <c r="G122" s="3" t="str">
        <f aca="false">IF(E122="","",E122-C122)</f>
        <v/>
      </c>
    </row>
    <row r="123" customFormat="false" ht="15" hidden="false" customHeight="false" outlineLevel="0" collapsed="false">
      <c r="A123" s="3" t="s">
        <v>42</v>
      </c>
      <c r="B123" s="3" t="s">
        <v>32</v>
      </c>
      <c r="C123" s="4" t="n">
        <v>26</v>
      </c>
      <c r="D123" s="3" t="str">
        <f aca="false">IF(C123&lt;$K$11,"Quiet",IF(C123&lt;$K$12,"Moderate","Packed"))</f>
        <v>Quiet</v>
      </c>
      <c r="E123" s="5"/>
      <c r="F123" s="3" t="str">
        <f aca="false">IF(E123="","",IF(E123&gt;=$K$10,"Busy",IF(E123&gt;=$K$9,"A little busy","Not too busy")))</f>
        <v/>
      </c>
      <c r="G123" s="3" t="str">
        <f aca="false">IF(E123="","",E123-C123)</f>
        <v/>
      </c>
    </row>
    <row r="124" customFormat="false" ht="15" hidden="false" customHeight="false" outlineLevel="0" collapsed="false">
      <c r="A124" s="3" t="s">
        <v>42</v>
      </c>
      <c r="B124" s="3" t="s">
        <v>33</v>
      </c>
      <c r="C124" s="4" t="n">
        <v>20</v>
      </c>
      <c r="D124" s="3" t="str">
        <f aca="false">IF(C124&lt;$K$11,"Quiet",IF(C124&lt;$K$12,"Moderate","Packed"))</f>
        <v>Quiet</v>
      </c>
      <c r="E124" s="5"/>
      <c r="F124" s="3" t="str">
        <f aca="false">IF(E124="","",IF(E124&gt;=$K$10,"Busy",IF(E124&gt;=$K$9,"A little busy","Not too busy")))</f>
        <v/>
      </c>
      <c r="G124" s="3" t="str">
        <f aca="false">IF(E124="","",E124-C124)</f>
        <v/>
      </c>
    </row>
    <row r="125" customFormat="false" ht="15" hidden="false" customHeight="false" outlineLevel="0" collapsed="false">
      <c r="A125" s="3" t="s">
        <v>42</v>
      </c>
      <c r="B125" s="3" t="s">
        <v>34</v>
      </c>
      <c r="C125" s="4" t="n">
        <v>12</v>
      </c>
      <c r="D125" s="3" t="str">
        <f aca="false">IF(C125&lt;$K$11,"Quiet",IF(C125&lt;$K$12,"Moderate","Packed"))</f>
        <v>Quiet</v>
      </c>
      <c r="E125" s="5"/>
      <c r="F125" s="3" t="str">
        <f aca="false">IF(E125="","",IF(E125&gt;=$K$10,"Busy",IF(E125&gt;=$K$9,"A little busy","Not too busy")))</f>
        <v/>
      </c>
      <c r="G125" s="3" t="str">
        <f aca="false">IF(E125="","",E125-C125)</f>
        <v/>
      </c>
    </row>
    <row r="126" customFormat="false" ht="15" hidden="false" customHeight="false" outlineLevel="0" collapsed="false">
      <c r="A126" s="3" t="s">
        <v>42</v>
      </c>
      <c r="B126" s="3" t="s">
        <v>35</v>
      </c>
      <c r="C126" s="4" t="n">
        <v>6</v>
      </c>
      <c r="D126" s="3" t="str">
        <f aca="false">IF(C126&lt;$K$11,"Quiet",IF(C126&lt;$K$12,"Moderate","Packed"))</f>
        <v>Quiet</v>
      </c>
      <c r="E126" s="5"/>
      <c r="F126" s="3" t="str">
        <f aca="false">IF(E126="","",IF(E126&gt;=$K$10,"Busy",IF(E126&gt;=$K$9,"A little busy","Not too busy")))</f>
        <v/>
      </c>
      <c r="G126" s="3" t="str">
        <f aca="false">IF(E126="","",E126-C126)</f>
        <v/>
      </c>
    </row>
    <row r="127" customFormat="false" ht="15" hidden="false" customHeight="false" outlineLevel="0" collapsed="false">
      <c r="A127" s="3" t="s">
        <v>42</v>
      </c>
      <c r="B127" s="3" t="s">
        <v>36</v>
      </c>
      <c r="C127" s="4" t="n">
        <v>3</v>
      </c>
      <c r="D127" s="3" t="str">
        <f aca="false">IF(C127&lt;$K$11,"Quiet",IF(C127&lt;$K$12,"Moderate","Packed"))</f>
        <v>Quiet</v>
      </c>
      <c r="E127" s="5"/>
      <c r="F127" s="3" t="str">
        <f aca="false">IF(E127="","",IF(E127&gt;=$K$10,"Busy",IF(E127&gt;=$K$9,"A little busy","Not too busy")))</f>
        <v/>
      </c>
      <c r="G127" s="3" t="str">
        <f aca="false">IF(E127="","",E127-C127)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36"/>
  </cols>
  <sheetData>
    <row r="1" customFormat="false" ht="42" hidden="false" customHeight="true" outlineLevel="0" collapsed="false">
      <c r="A1" s="1" t="s">
        <v>1</v>
      </c>
      <c r="B1" s="1" t="s">
        <v>4</v>
      </c>
      <c r="C1" s="1" t="s">
        <v>5</v>
      </c>
      <c r="D1" s="1" t="s">
        <v>43</v>
      </c>
      <c r="E1" s="1" t="s">
        <v>3</v>
      </c>
      <c r="F1" s="1" t="s">
        <v>6</v>
      </c>
      <c r="G1" s="1" t="s">
        <v>44</v>
      </c>
    </row>
    <row r="2" customFormat="false" ht="15" hidden="false" customHeight="false" outlineLevel="0" collapsed="false">
      <c r="A2" s="3" t="s">
        <v>13</v>
      </c>
      <c r="B2" s="4" t="n">
        <v>50</v>
      </c>
      <c r="C2" s="3" t="str">
        <f aca="false">IF(B2&gt;='Mon-Sun comparison'!$K$10,"Busy",IF(B2&gt;='Mon-Sun comparison'!$K$9,"A little busy","Not too busy"))</f>
        <v>A little busy</v>
      </c>
      <c r="D2" s="4" t="n">
        <v>22</v>
      </c>
      <c r="E2" s="3" t="str">
        <f aca="false">IF(D2&lt;'Mon-Sun comparison'!$K$11,"Quiet",IF(D2&lt;'Mon-Sun comparison'!$K$12,"Moderate","Packed"))</f>
        <v>Quiet</v>
      </c>
      <c r="F2" s="3" t="n">
        <f aca="false">B2-D2</f>
        <v>28</v>
      </c>
      <c r="G2" s="3"/>
    </row>
    <row r="3" customFormat="false" ht="15" hidden="false" customHeight="false" outlineLevel="0" collapsed="false">
      <c r="A3" s="3" t="s">
        <v>17</v>
      </c>
      <c r="B3" s="4" t="n">
        <v>85</v>
      </c>
      <c r="C3" s="3" t="str">
        <f aca="false">IF(B3&gt;='Mon-Sun comparison'!$K$10,"Busy",IF(B3&gt;='Mon-Sun comparison'!$K$9,"A little busy","Not too busy"))</f>
        <v>A little busy</v>
      </c>
      <c r="D3" s="4" t="n">
        <v>50</v>
      </c>
      <c r="E3" s="3" t="str">
        <f aca="false">IF(D3&lt;'Mon-Sun comparison'!$K$11,"Quiet",IF(D3&lt;'Mon-Sun comparison'!$K$12,"Moderate","Packed"))</f>
        <v>Moderate</v>
      </c>
      <c r="F3" s="3" t="n">
        <f aca="false">B3-D3</f>
        <v>35</v>
      </c>
      <c r="G3" s="3"/>
    </row>
    <row r="4" customFormat="false" ht="15" hidden="false" customHeight="false" outlineLevel="0" collapsed="false">
      <c r="A4" s="3" t="s">
        <v>20</v>
      </c>
      <c r="B4" s="4" t="n">
        <v>78</v>
      </c>
      <c r="C4" s="3" t="str">
        <f aca="false">IF(B4&gt;='Mon-Sun comparison'!$K$10,"Busy",IF(B4&gt;='Mon-Sun comparison'!$K$9,"A little busy","Not too busy"))</f>
        <v>A little busy</v>
      </c>
      <c r="D4" s="4" t="n">
        <v>52</v>
      </c>
      <c r="E4" s="3" t="str">
        <f aca="false">IF(D4&lt;'Mon-Sun comparison'!$K$11,"Quiet",IF(D4&lt;'Mon-Sun comparison'!$K$12,"Moderate","Packed"))</f>
        <v>Moderate</v>
      </c>
      <c r="F4" s="3" t="n">
        <f aca="false">B4-D4</f>
        <v>26</v>
      </c>
      <c r="G4" s="3"/>
    </row>
    <row r="5" customFormat="false" ht="15" hidden="false" customHeight="false" outlineLevel="0" collapsed="false">
      <c r="A5" s="3" t="s">
        <v>23</v>
      </c>
      <c r="B5" s="4" t="n">
        <v>97</v>
      </c>
      <c r="C5" s="3" t="str">
        <f aca="false">IF(B5&gt;='Mon-Sun comparison'!$K$10,"Busy",IF(B5&gt;='Mon-Sun comparison'!$K$9,"A little busy","Not too busy"))</f>
        <v>A little busy</v>
      </c>
      <c r="D5" s="4" t="n">
        <v>40</v>
      </c>
      <c r="E5" s="3" t="str">
        <f aca="false">IF(D5&lt;'Mon-Sun comparison'!$K$11,"Quiet",IF(D5&lt;'Mon-Sun comparison'!$K$12,"Moderate","Packed"))</f>
        <v>Moderate</v>
      </c>
      <c r="F5" s="3" t="n">
        <f aca="false">B5-D5</f>
        <v>57</v>
      </c>
      <c r="G5" s="3" t="s">
        <v>45</v>
      </c>
    </row>
    <row r="6" customFormat="false" ht="15" hidden="false" customHeight="false" outlineLevel="0" collapsed="false">
      <c r="A6" s="3" t="s">
        <v>27</v>
      </c>
      <c r="B6" s="4" t="n">
        <v>88</v>
      </c>
      <c r="C6" s="3" t="str">
        <f aca="false">IF(B6&gt;='Mon-Sun comparison'!$K$10,"Busy",IF(B6&gt;='Mon-Sun comparison'!$K$9,"A little busy","Not too busy"))</f>
        <v>A little busy</v>
      </c>
      <c r="D6" s="4" t="n">
        <v>30</v>
      </c>
      <c r="E6" s="3" t="str">
        <f aca="false">IF(D6&lt;'Mon-Sun comparison'!$K$11,"Quiet",IF(D6&lt;'Mon-Sun comparison'!$K$12,"Moderate","Packed"))</f>
        <v>Quiet</v>
      </c>
      <c r="F6" s="3" t="n">
        <f aca="false">B6-D6</f>
        <v>58</v>
      </c>
      <c r="G6" s="3"/>
    </row>
    <row r="7" customFormat="false" ht="15" hidden="false" customHeight="false" outlineLevel="0" collapsed="false">
      <c r="A7" s="3" t="s">
        <v>29</v>
      </c>
      <c r="B7" s="4" t="n">
        <v>100</v>
      </c>
      <c r="C7" s="3" t="str">
        <f aca="false">IF(B7&gt;='Mon-Sun comparison'!$K$10,"Busy",IF(B7&gt;='Mon-Sun comparison'!$K$9,"A little busy","Not too busy"))</f>
        <v>A little busy</v>
      </c>
      <c r="D7" s="4" t="n">
        <v>24</v>
      </c>
      <c r="E7" s="3" t="str">
        <f aca="false">IF(D7&lt;'Mon-Sun comparison'!$K$11,"Quiet",IF(D7&lt;'Mon-Sun comparison'!$K$12,"Moderate","Packed"))</f>
        <v>Quiet</v>
      </c>
      <c r="F7" s="3" t="n">
        <f aca="false">B7-D7</f>
        <v>76</v>
      </c>
      <c r="G7" s="3" t="s">
        <v>46</v>
      </c>
    </row>
    <row r="8" customFormat="false" ht="15" hidden="false" customHeight="false" outlineLevel="0" collapsed="false">
      <c r="A8" s="3" t="s">
        <v>31</v>
      </c>
      <c r="B8" s="4" t="n">
        <v>99</v>
      </c>
      <c r="C8" s="3" t="str">
        <f aca="false">IF(B8&gt;='Mon-Sun comparison'!$K$10,"Busy",IF(B8&gt;='Mon-Sun comparison'!$K$9,"A little busy","Not too busy"))</f>
        <v>A little busy</v>
      </c>
      <c r="D8" s="4" t="n">
        <v>18</v>
      </c>
      <c r="E8" s="3" t="str">
        <f aca="false">IF(D8&lt;'Mon-Sun comparison'!$K$11,"Quiet",IF(D8&lt;'Mon-Sun comparison'!$K$12,"Moderate","Packed"))</f>
        <v>Quiet</v>
      </c>
      <c r="F8" s="3" t="n">
        <f aca="false">B8-D8</f>
        <v>81</v>
      </c>
      <c r="G8" s="3"/>
    </row>
    <row r="9" customFormat="false" ht="15" hidden="false" customHeight="false" outlineLevel="0" collapsed="false">
      <c r="A9" s="3" t="s">
        <v>33</v>
      </c>
      <c r="B9" s="4" t="n">
        <v>50</v>
      </c>
      <c r="C9" s="3" t="str">
        <f aca="false">IF(B9&gt;='Mon-Sun comparison'!$K$10,"Busy",IF(B9&gt;='Mon-Sun comparison'!$K$9,"A little busy","Not too busy"))</f>
        <v>A little busy</v>
      </c>
      <c r="D9" s="4" t="n">
        <v>8</v>
      </c>
      <c r="E9" s="3" t="str">
        <f aca="false">IF(D9&lt;'Mon-Sun comparison'!$K$11,"Quiet",IF(D9&lt;'Mon-Sun comparison'!$K$12,"Moderate","Packed"))</f>
        <v>Quiet</v>
      </c>
      <c r="F9" s="3" t="n">
        <f aca="false">B9-D9</f>
        <v>42</v>
      </c>
      <c r="G9" s="3"/>
    </row>
    <row r="11" customFormat="false" ht="15" hidden="false" customHeight="false" outlineLevel="0" collapsed="false">
      <c r="A11" s="2" t="s">
        <v>47</v>
      </c>
      <c r="F11" s="2" t="n">
        <f aca="false">AVERAGE(F2:F9)</f>
        <v>50.375</v>
      </c>
    </row>
    <row r="13" customFormat="false" ht="15" hidden="false" customHeight="false" outlineLevel="0" collapsed="false">
      <c r="A13" s="2" t="s">
        <v>48</v>
      </c>
    </row>
    <row r="14" customFormat="false" ht="15" hidden="false" customHeight="false" outlineLevel="0" collapsed="false">
      <c r="A14" s="3" t="s">
        <v>49</v>
      </c>
    </row>
    <row r="15" customFormat="false" ht="15" hidden="false" customHeight="false" outlineLevel="0" collapsed="false">
      <c r="A15" s="3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2"/>
  </cols>
  <sheetData>
    <row r="1" customFormat="false" ht="42" hidden="false" customHeight="true" outlineLevel="0" collapsed="false">
      <c r="A1" s="1" t="s">
        <v>1</v>
      </c>
      <c r="B1" s="1" t="s">
        <v>8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customFormat="false" ht="15" hidden="false" customHeight="false" outlineLevel="0" collapsed="false">
      <c r="A2" s="3" t="s">
        <v>9</v>
      </c>
      <c r="B2" s="4" t="n">
        <v>22</v>
      </c>
      <c r="C2" s="4" t="n">
        <v>32</v>
      </c>
      <c r="D2" s="4" t="n">
        <v>28</v>
      </c>
      <c r="E2" s="4" t="n">
        <v>31</v>
      </c>
      <c r="F2" s="4" t="n">
        <v>26</v>
      </c>
      <c r="G2" s="4" t="n">
        <v>8</v>
      </c>
      <c r="H2" s="4" t="n">
        <v>6</v>
      </c>
    </row>
    <row r="3" customFormat="false" ht="15" hidden="false" customHeight="false" outlineLevel="0" collapsed="false">
      <c r="A3" s="3" t="s">
        <v>11</v>
      </c>
      <c r="B3" s="4" t="n">
        <v>32</v>
      </c>
      <c r="C3" s="4" t="n">
        <v>40</v>
      </c>
      <c r="D3" s="4" t="n">
        <v>36</v>
      </c>
      <c r="E3" s="4" t="n">
        <v>39</v>
      </c>
      <c r="F3" s="4" t="n">
        <v>34</v>
      </c>
      <c r="G3" s="4" t="n">
        <v>12</v>
      </c>
      <c r="H3" s="4" t="n">
        <v>10</v>
      </c>
    </row>
    <row r="4" customFormat="false" ht="15" hidden="false" customHeight="false" outlineLevel="0" collapsed="false">
      <c r="A4" s="3" t="s">
        <v>13</v>
      </c>
      <c r="B4" s="4" t="n">
        <v>34</v>
      </c>
      <c r="C4" s="4" t="n">
        <v>34</v>
      </c>
      <c r="D4" s="4" t="n">
        <v>30</v>
      </c>
      <c r="E4" s="4" t="n">
        <v>33</v>
      </c>
      <c r="F4" s="4" t="n">
        <v>30</v>
      </c>
      <c r="G4" s="4" t="n">
        <v>22</v>
      </c>
      <c r="H4" s="4" t="n">
        <v>18</v>
      </c>
    </row>
    <row r="5" customFormat="false" ht="15" hidden="false" customHeight="false" outlineLevel="0" collapsed="false">
      <c r="A5" s="3" t="s">
        <v>15</v>
      </c>
      <c r="B5" s="4" t="n">
        <v>32</v>
      </c>
      <c r="C5" s="4" t="n">
        <v>32</v>
      </c>
      <c r="D5" s="4" t="n">
        <v>28</v>
      </c>
      <c r="E5" s="4" t="n">
        <v>31</v>
      </c>
      <c r="F5" s="4" t="n">
        <v>32</v>
      </c>
      <c r="G5" s="4" t="n">
        <v>38</v>
      </c>
      <c r="H5" s="4" t="n">
        <v>30</v>
      </c>
    </row>
    <row r="6" customFormat="false" ht="15" hidden="false" customHeight="false" outlineLevel="0" collapsed="false">
      <c r="A6" s="3" t="s">
        <v>17</v>
      </c>
      <c r="B6" s="4" t="n">
        <v>34</v>
      </c>
      <c r="C6" s="4" t="n">
        <v>42</v>
      </c>
      <c r="D6" s="4" t="n">
        <v>38</v>
      </c>
      <c r="E6" s="4" t="n">
        <v>41</v>
      </c>
      <c r="F6" s="4" t="n">
        <v>40</v>
      </c>
      <c r="G6" s="4" t="n">
        <v>50</v>
      </c>
      <c r="H6" s="4" t="n">
        <v>42</v>
      </c>
    </row>
    <row r="7" customFormat="false" ht="15" hidden="false" customHeight="false" outlineLevel="0" collapsed="false">
      <c r="A7" s="3" t="s">
        <v>19</v>
      </c>
      <c r="B7" s="4" t="n">
        <v>38</v>
      </c>
      <c r="C7" s="4" t="n">
        <v>55</v>
      </c>
      <c r="D7" s="4" t="n">
        <v>50</v>
      </c>
      <c r="E7" s="4" t="n">
        <v>54</v>
      </c>
      <c r="F7" s="4" t="n">
        <v>48</v>
      </c>
      <c r="G7" s="4" t="n">
        <v>55</v>
      </c>
      <c r="H7" s="4" t="n">
        <v>50</v>
      </c>
    </row>
    <row r="8" customFormat="false" ht="15" hidden="false" customHeight="false" outlineLevel="0" collapsed="false">
      <c r="A8" s="3" t="s">
        <v>20</v>
      </c>
      <c r="B8" s="4" t="n">
        <v>42</v>
      </c>
      <c r="C8" s="4" t="n">
        <v>52</v>
      </c>
      <c r="D8" s="4" t="n">
        <v>48</v>
      </c>
      <c r="E8" s="4" t="n">
        <v>51</v>
      </c>
      <c r="F8" s="4" t="n">
        <v>46</v>
      </c>
      <c r="G8" s="4" t="n">
        <v>52</v>
      </c>
      <c r="H8" s="4" t="n">
        <v>54</v>
      </c>
    </row>
    <row r="9" customFormat="false" ht="15" hidden="false" customHeight="false" outlineLevel="0" collapsed="false">
      <c r="A9" s="3" t="s">
        <v>21</v>
      </c>
      <c r="B9" s="4" t="n">
        <v>38</v>
      </c>
      <c r="C9" s="4" t="n">
        <v>40</v>
      </c>
      <c r="D9" s="4" t="n">
        <v>36</v>
      </c>
      <c r="E9" s="4" t="n">
        <v>39</v>
      </c>
      <c r="F9" s="4" t="n">
        <v>36</v>
      </c>
      <c r="G9" s="4" t="n">
        <v>45</v>
      </c>
      <c r="H9" s="4" t="n">
        <v>48</v>
      </c>
    </row>
    <row r="10" customFormat="false" ht="15" hidden="false" customHeight="false" outlineLevel="0" collapsed="false">
      <c r="A10" s="3" t="s">
        <v>23</v>
      </c>
      <c r="B10" s="4" t="n">
        <v>38</v>
      </c>
      <c r="C10" s="4" t="n">
        <v>36</v>
      </c>
      <c r="D10" s="4" t="n">
        <v>32</v>
      </c>
      <c r="E10" s="4" t="n">
        <v>35</v>
      </c>
      <c r="F10" s="4" t="n">
        <v>30</v>
      </c>
      <c r="G10" s="4" t="n">
        <v>40</v>
      </c>
      <c r="H10" s="4" t="n">
        <v>42</v>
      </c>
    </row>
    <row r="11" customFormat="false" ht="15" hidden="false" customHeight="false" outlineLevel="0" collapsed="false">
      <c r="A11" s="3" t="s">
        <v>25</v>
      </c>
      <c r="B11" s="4" t="n">
        <v>46</v>
      </c>
      <c r="C11" s="4" t="n">
        <v>50</v>
      </c>
      <c r="D11" s="4" t="n">
        <v>46</v>
      </c>
      <c r="E11" s="4" t="n">
        <v>49</v>
      </c>
      <c r="F11" s="4" t="n">
        <v>40</v>
      </c>
      <c r="G11" s="4" t="n">
        <v>35</v>
      </c>
      <c r="H11" s="4" t="n">
        <v>38</v>
      </c>
    </row>
    <row r="12" customFormat="false" ht="15" hidden="false" customHeight="false" outlineLevel="0" collapsed="false">
      <c r="A12" s="3" t="s">
        <v>27</v>
      </c>
      <c r="B12" s="4" t="n">
        <v>64</v>
      </c>
      <c r="C12" s="4" t="n">
        <v>70</v>
      </c>
      <c r="D12" s="4" t="n">
        <v>66</v>
      </c>
      <c r="E12" s="4" t="n">
        <v>69</v>
      </c>
      <c r="F12" s="4" t="n">
        <v>54</v>
      </c>
      <c r="G12" s="4" t="n">
        <v>30</v>
      </c>
      <c r="H12" s="4" t="n">
        <v>36</v>
      </c>
    </row>
    <row r="13" customFormat="false" ht="15" hidden="false" customHeight="false" outlineLevel="0" collapsed="false">
      <c r="A13" s="3" t="s">
        <v>29</v>
      </c>
      <c r="B13" s="4" t="n">
        <v>88</v>
      </c>
      <c r="C13" s="4" t="n">
        <v>88</v>
      </c>
      <c r="D13" s="4" t="n">
        <v>82</v>
      </c>
      <c r="E13" s="4" t="n">
        <v>86</v>
      </c>
      <c r="F13" s="4" t="n">
        <v>66</v>
      </c>
      <c r="G13" s="4" t="n">
        <v>24</v>
      </c>
      <c r="H13" s="4" t="n">
        <v>34</v>
      </c>
    </row>
    <row r="14" customFormat="false" ht="15" hidden="false" customHeight="false" outlineLevel="0" collapsed="false">
      <c r="A14" s="3" t="s">
        <v>31</v>
      </c>
      <c r="B14" s="4" t="n">
        <v>99</v>
      </c>
      <c r="C14" s="4" t="n">
        <v>92</v>
      </c>
      <c r="D14" s="4" t="n">
        <v>88</v>
      </c>
      <c r="E14" s="4" t="n">
        <v>91</v>
      </c>
      <c r="F14" s="4" t="n">
        <v>70</v>
      </c>
      <c r="G14" s="4" t="n">
        <v>18</v>
      </c>
      <c r="H14" s="4" t="n">
        <v>30</v>
      </c>
    </row>
    <row r="15" customFormat="false" ht="15" hidden="false" customHeight="false" outlineLevel="0" collapsed="false">
      <c r="A15" s="3" t="s">
        <v>32</v>
      </c>
      <c r="B15" s="4" t="n">
        <v>100</v>
      </c>
      <c r="C15" s="4" t="n">
        <v>80</v>
      </c>
      <c r="D15" s="4" t="n">
        <v>76</v>
      </c>
      <c r="E15" s="4" t="n">
        <v>79</v>
      </c>
      <c r="F15" s="4" t="n">
        <v>58</v>
      </c>
      <c r="G15" s="4" t="n">
        <v>12</v>
      </c>
      <c r="H15" s="4" t="n">
        <v>26</v>
      </c>
    </row>
    <row r="16" customFormat="false" ht="15" hidden="false" customHeight="false" outlineLevel="0" collapsed="false">
      <c r="A16" s="3" t="s">
        <v>33</v>
      </c>
      <c r="B16" s="4" t="n">
        <v>86</v>
      </c>
      <c r="C16" s="4" t="n">
        <v>62</v>
      </c>
      <c r="D16" s="4" t="n">
        <v>58</v>
      </c>
      <c r="E16" s="4" t="n">
        <v>61</v>
      </c>
      <c r="F16" s="4" t="n">
        <v>42</v>
      </c>
      <c r="G16" s="4" t="n">
        <v>8</v>
      </c>
      <c r="H16" s="4" t="n">
        <v>20</v>
      </c>
    </row>
    <row r="17" customFormat="false" ht="15" hidden="false" customHeight="false" outlineLevel="0" collapsed="false">
      <c r="A17" s="3" t="s">
        <v>34</v>
      </c>
      <c r="B17" s="4" t="n">
        <v>60</v>
      </c>
      <c r="C17" s="4" t="n">
        <v>44</v>
      </c>
      <c r="D17" s="4" t="n">
        <v>40</v>
      </c>
      <c r="E17" s="4" t="n">
        <v>43</v>
      </c>
      <c r="F17" s="4" t="n">
        <v>28</v>
      </c>
      <c r="G17" s="4" t="n">
        <v>5</v>
      </c>
      <c r="H17" s="4" t="n">
        <v>12</v>
      </c>
    </row>
    <row r="18" customFormat="false" ht="15" hidden="false" customHeight="false" outlineLevel="0" collapsed="false">
      <c r="A18" s="3" t="s">
        <v>35</v>
      </c>
      <c r="B18" s="4" t="n">
        <v>34</v>
      </c>
      <c r="C18" s="4" t="n">
        <v>26</v>
      </c>
      <c r="D18" s="4" t="n">
        <v>24</v>
      </c>
      <c r="E18" s="4" t="n">
        <v>25</v>
      </c>
      <c r="F18" s="4" t="n">
        <v>16</v>
      </c>
      <c r="G18" s="4" t="n">
        <v>3</v>
      </c>
      <c r="H18" s="4" t="n">
        <v>6</v>
      </c>
    </row>
    <row r="19" customFormat="false" ht="15" hidden="false" customHeight="false" outlineLevel="0" collapsed="false">
      <c r="A19" s="3" t="s">
        <v>36</v>
      </c>
      <c r="B19" s="4" t="n">
        <v>17</v>
      </c>
      <c r="C19" s="4" t="n">
        <v>12</v>
      </c>
      <c r="D19" s="4" t="n">
        <v>10</v>
      </c>
      <c r="E19" s="4" t="n">
        <v>11</v>
      </c>
      <c r="F19" s="4" t="n">
        <v>8</v>
      </c>
      <c r="G19" s="4" t="n">
        <v>2</v>
      </c>
      <c r="H19" s="4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2026-10-17T21:26:20Z</dcterms:created>
  <dc:creator>openpyxl</dc:creator>
  <dc:description/>
  <dc:language>en-US</dc:language>
  <cp:lastModifiedBy/>
  <dcterms:modified xsi:type="dcterms:W3CDTF">2026-10-17T21:26:22Z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